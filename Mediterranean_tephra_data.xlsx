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02"/>
  <workbookPr defaultThemeVersion="202300"/>
  <mc:AlternateContent xmlns:mc="http://schemas.openxmlformats.org/markup-compatibility/2006">
    <mc:Choice Requires="x15">
      <x15ac:absPath xmlns:x15ac="http://schemas.microsoft.com/office/spreadsheetml/2010/11/ac" url="/Users/lisaelliott/Documents/MPhil_Dissertation_Final/"/>
    </mc:Choice>
  </mc:AlternateContent>
  <xr:revisionPtr revIDLastSave="0" documentId="13_ncr:1_{F453E999-0776-B24A-8F93-5BAE3B26B213}" xr6:coauthVersionLast="47" xr6:coauthVersionMax="47" xr10:uidLastSave="{00000000-0000-0000-0000-000000000000}"/>
  <bookViews>
    <workbookView xWindow="0" yWindow="780" windowWidth="34200" windowHeight="19680" activeTab="1" xr2:uid="{FE9DDF79-BEC1-264F-B255-6665C52C0285}"/>
  </bookViews>
  <sheets>
    <sheet name="Legend" sheetId="6" r:id="rId1"/>
    <sheet name="Tephra data" sheetId="1" r:id="rId2"/>
    <sheet name="References" sheetId="2" r:id="rId3"/>
    <sheet name="Dating references" sheetId="5" r:id="rId4"/>
    <sheet name="Site spans" sheetId="7"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9" i="7" l="1"/>
  <c r="H28" i="7"/>
  <c r="AJ300" i="1"/>
  <c r="AK300" i="1"/>
  <c r="AL300" i="1"/>
  <c r="AM300" i="1"/>
  <c r="H117" i="7" l="1"/>
  <c r="G117" i="7"/>
  <c r="AJ417" i="1"/>
  <c r="AK417" i="1"/>
  <c r="AL417" i="1"/>
  <c r="AM417" i="1"/>
  <c r="AJ335" i="1"/>
  <c r="AK335" i="1"/>
  <c r="AL335" i="1"/>
  <c r="AM335" i="1"/>
  <c r="AJ336" i="1"/>
  <c r="AK336" i="1"/>
  <c r="AL336" i="1"/>
  <c r="AM336" i="1"/>
  <c r="AJ337" i="1"/>
  <c r="AK337" i="1"/>
  <c r="AL337" i="1"/>
  <c r="AM337" i="1"/>
  <c r="AJ338" i="1"/>
  <c r="AK338" i="1"/>
  <c r="AL338" i="1"/>
  <c r="AM338" i="1"/>
  <c r="AJ339" i="1"/>
  <c r="AK339" i="1"/>
  <c r="AL339" i="1"/>
  <c r="AM339" i="1"/>
  <c r="AJ340" i="1"/>
  <c r="AK340" i="1"/>
  <c r="AL340" i="1"/>
  <c r="AM340" i="1"/>
  <c r="AJ341" i="1"/>
  <c r="AK341" i="1"/>
  <c r="AL341" i="1"/>
  <c r="AM341" i="1"/>
  <c r="AJ342" i="1"/>
  <c r="AK342" i="1"/>
  <c r="AL342" i="1"/>
  <c r="AM342" i="1"/>
  <c r="AJ343" i="1"/>
  <c r="AK343" i="1"/>
  <c r="AL343" i="1"/>
  <c r="AM343" i="1"/>
  <c r="AJ344" i="1"/>
  <c r="AK344" i="1"/>
  <c r="AL344" i="1"/>
  <c r="AM344" i="1"/>
  <c r="AJ345" i="1"/>
  <c r="AK345" i="1"/>
  <c r="AL345" i="1"/>
  <c r="AM345" i="1"/>
  <c r="AJ346" i="1"/>
  <c r="AK346" i="1"/>
  <c r="AL346" i="1"/>
  <c r="AM346" i="1"/>
  <c r="AJ347" i="1"/>
  <c r="AK347" i="1"/>
  <c r="AL347" i="1"/>
  <c r="AM347" i="1"/>
  <c r="AJ351" i="1"/>
  <c r="AK351" i="1"/>
  <c r="AL351" i="1"/>
  <c r="AM351" i="1"/>
  <c r="AJ352" i="1"/>
  <c r="AK352" i="1"/>
  <c r="AL352" i="1"/>
  <c r="AM352" i="1"/>
  <c r="AJ348" i="1"/>
  <c r="AK348" i="1"/>
  <c r="AL348" i="1"/>
  <c r="AM348" i="1"/>
  <c r="AJ349" i="1"/>
  <c r="AK349" i="1"/>
  <c r="AL349" i="1"/>
  <c r="AM349" i="1"/>
  <c r="AJ350" i="1"/>
  <c r="AK350" i="1"/>
  <c r="AL350" i="1"/>
  <c r="AM350" i="1"/>
  <c r="AJ353" i="1"/>
  <c r="AK353" i="1"/>
  <c r="AL353" i="1"/>
  <c r="AM353" i="1"/>
  <c r="AJ354" i="1"/>
  <c r="AK354" i="1"/>
  <c r="AL354" i="1"/>
  <c r="AM354" i="1"/>
  <c r="AJ355" i="1"/>
  <c r="AK355" i="1"/>
  <c r="AL355" i="1"/>
  <c r="AM355" i="1"/>
  <c r="AJ356" i="1"/>
  <c r="AK356" i="1"/>
  <c r="AL356" i="1"/>
  <c r="AM356" i="1"/>
  <c r="AJ357" i="1"/>
  <c r="AK357" i="1"/>
  <c r="AL357" i="1"/>
  <c r="AM357" i="1"/>
  <c r="AJ358" i="1"/>
  <c r="AK358" i="1"/>
  <c r="AL358" i="1"/>
  <c r="AM358" i="1"/>
  <c r="AJ359" i="1"/>
  <c r="AK359" i="1"/>
  <c r="AL359" i="1"/>
  <c r="AM359" i="1"/>
  <c r="AJ360" i="1"/>
  <c r="AK360" i="1"/>
  <c r="AL360" i="1"/>
  <c r="AM360" i="1"/>
  <c r="AJ361" i="1"/>
  <c r="AK361" i="1"/>
  <c r="AL361" i="1"/>
  <c r="AM361" i="1"/>
  <c r="AJ362" i="1"/>
  <c r="AK362" i="1"/>
  <c r="AL362" i="1"/>
  <c r="AM362" i="1"/>
  <c r="AJ363" i="1"/>
  <c r="AK363" i="1"/>
  <c r="AL363" i="1"/>
  <c r="AM363" i="1"/>
  <c r="AJ364" i="1"/>
  <c r="AK364" i="1"/>
  <c r="AL364" i="1"/>
  <c r="AM364" i="1"/>
  <c r="AJ365" i="1"/>
  <c r="AK365" i="1"/>
  <c r="AL365" i="1"/>
  <c r="AM365" i="1"/>
  <c r="AJ366" i="1"/>
  <c r="AK366" i="1"/>
  <c r="AL366" i="1"/>
  <c r="AM366" i="1"/>
  <c r="AJ367" i="1"/>
  <c r="AK367" i="1"/>
  <c r="AL367" i="1"/>
  <c r="AM367" i="1"/>
  <c r="AJ382" i="1"/>
  <c r="AK382" i="1"/>
  <c r="AL382" i="1"/>
  <c r="AM382" i="1"/>
  <c r="AJ383" i="1"/>
  <c r="AK383" i="1"/>
  <c r="AL383" i="1"/>
  <c r="AM383" i="1"/>
  <c r="AJ368" i="1"/>
  <c r="AK368" i="1"/>
  <c r="AL368" i="1"/>
  <c r="AM368" i="1"/>
  <c r="AJ369" i="1"/>
  <c r="AK369" i="1"/>
  <c r="AL369" i="1"/>
  <c r="AM369" i="1"/>
  <c r="AJ370" i="1"/>
  <c r="AK370" i="1"/>
  <c r="AL370" i="1"/>
  <c r="AM370" i="1"/>
  <c r="AJ384" i="1"/>
  <c r="AK384" i="1"/>
  <c r="AL384" i="1"/>
  <c r="AM384" i="1"/>
  <c r="AJ385" i="1"/>
  <c r="AK385" i="1"/>
  <c r="AL385" i="1"/>
  <c r="AM385" i="1"/>
  <c r="AJ371" i="1"/>
  <c r="AK371" i="1"/>
  <c r="AL371" i="1"/>
  <c r="AM371" i="1"/>
  <c r="AJ372" i="1"/>
  <c r="AK372" i="1"/>
  <c r="AL372" i="1"/>
  <c r="AM372" i="1"/>
  <c r="AJ373" i="1"/>
  <c r="AK373" i="1"/>
  <c r="AL373" i="1"/>
  <c r="AM373" i="1"/>
  <c r="AJ386" i="1"/>
  <c r="AK386" i="1"/>
  <c r="AL386" i="1"/>
  <c r="AM386" i="1"/>
  <c r="AJ387" i="1"/>
  <c r="AK387" i="1"/>
  <c r="AL387" i="1"/>
  <c r="AM387" i="1"/>
  <c r="AJ388" i="1"/>
  <c r="AK388" i="1"/>
  <c r="AL388" i="1"/>
  <c r="AM388" i="1"/>
  <c r="AJ389" i="1"/>
  <c r="AK389" i="1"/>
  <c r="AL389" i="1"/>
  <c r="AM389" i="1"/>
  <c r="AJ390" i="1"/>
  <c r="AK390" i="1"/>
  <c r="AL390" i="1"/>
  <c r="AM390" i="1"/>
  <c r="AJ391" i="1"/>
  <c r="AK391" i="1"/>
  <c r="AL391" i="1"/>
  <c r="AM391" i="1"/>
  <c r="AJ392" i="1"/>
  <c r="AK392" i="1"/>
  <c r="AL392" i="1"/>
  <c r="AM392" i="1"/>
  <c r="AJ374" i="1"/>
  <c r="AK374" i="1"/>
  <c r="AL374" i="1"/>
  <c r="AM374" i="1"/>
  <c r="AJ375" i="1"/>
  <c r="AK375" i="1"/>
  <c r="AL375" i="1"/>
  <c r="AM375" i="1"/>
  <c r="AJ393" i="1"/>
  <c r="AK393" i="1"/>
  <c r="AL393" i="1"/>
  <c r="AM393" i="1"/>
  <c r="AJ376" i="1"/>
  <c r="AK376" i="1"/>
  <c r="AL376" i="1"/>
  <c r="AM376" i="1"/>
  <c r="AJ377" i="1"/>
  <c r="AK377" i="1"/>
  <c r="AL377" i="1"/>
  <c r="AM377" i="1"/>
  <c r="AJ394" i="1"/>
  <c r="AK394" i="1"/>
  <c r="AL394" i="1"/>
  <c r="AM394" i="1"/>
  <c r="AJ395" i="1"/>
  <c r="AK395" i="1"/>
  <c r="AL395" i="1"/>
  <c r="AM395" i="1"/>
  <c r="AJ396" i="1"/>
  <c r="AK396" i="1"/>
  <c r="AL396" i="1"/>
  <c r="AM396" i="1"/>
  <c r="AJ397" i="1"/>
  <c r="AK397" i="1"/>
  <c r="AL397" i="1"/>
  <c r="AM397" i="1"/>
  <c r="AJ398" i="1"/>
  <c r="AK398" i="1"/>
  <c r="AL398" i="1"/>
  <c r="AM398" i="1"/>
  <c r="AJ399" i="1"/>
  <c r="AK399" i="1"/>
  <c r="AL399" i="1"/>
  <c r="AM399" i="1"/>
  <c r="AJ400" i="1"/>
  <c r="AK400" i="1"/>
  <c r="AL400" i="1"/>
  <c r="AM400" i="1"/>
  <c r="AJ401" i="1"/>
  <c r="AK401" i="1"/>
  <c r="AL401" i="1"/>
  <c r="AM401" i="1"/>
  <c r="AJ402" i="1"/>
  <c r="AK402" i="1"/>
  <c r="AL402" i="1"/>
  <c r="AM402" i="1"/>
  <c r="AJ403" i="1"/>
  <c r="AK403" i="1"/>
  <c r="AL403" i="1"/>
  <c r="AM403" i="1"/>
  <c r="AJ404" i="1"/>
  <c r="AK404" i="1"/>
  <c r="AL404" i="1"/>
  <c r="AM404" i="1"/>
  <c r="AJ405" i="1"/>
  <c r="AK405" i="1"/>
  <c r="AL405" i="1"/>
  <c r="AM405" i="1"/>
  <c r="AJ406" i="1"/>
  <c r="AK406" i="1"/>
  <c r="AL406" i="1"/>
  <c r="AM406" i="1"/>
  <c r="AJ407" i="1"/>
  <c r="AK407" i="1"/>
  <c r="AL407" i="1"/>
  <c r="AM407" i="1"/>
  <c r="AJ378" i="1"/>
  <c r="AK378" i="1"/>
  <c r="AL378" i="1"/>
  <c r="AM378" i="1"/>
  <c r="AJ408" i="1"/>
  <c r="AK408" i="1"/>
  <c r="AL408" i="1"/>
  <c r="AM408" i="1"/>
  <c r="AJ379" i="1"/>
  <c r="AK379" i="1"/>
  <c r="AL379" i="1"/>
  <c r="AM379" i="1"/>
  <c r="AJ409" i="1"/>
  <c r="AK409" i="1"/>
  <c r="AL409" i="1"/>
  <c r="AM409" i="1"/>
  <c r="AJ380" i="1"/>
  <c r="AK380" i="1"/>
  <c r="AL380" i="1"/>
  <c r="AM380" i="1"/>
  <c r="AJ381" i="1"/>
  <c r="AK381" i="1"/>
  <c r="AL381" i="1"/>
  <c r="AM381" i="1"/>
  <c r="AJ410" i="1"/>
  <c r="AK410" i="1"/>
  <c r="AL410" i="1"/>
  <c r="AM410" i="1"/>
  <c r="AJ411" i="1"/>
  <c r="AK411" i="1"/>
  <c r="AL411" i="1"/>
  <c r="AM411" i="1"/>
  <c r="AJ412" i="1"/>
  <c r="AK412" i="1"/>
  <c r="AL412" i="1"/>
  <c r="AM412" i="1"/>
  <c r="AJ413" i="1"/>
  <c r="AK413" i="1"/>
  <c r="AL413" i="1"/>
  <c r="AM413" i="1"/>
  <c r="AJ414" i="1"/>
  <c r="AK414" i="1"/>
  <c r="AL414" i="1"/>
  <c r="AM414" i="1"/>
  <c r="AJ415" i="1"/>
  <c r="AK415" i="1"/>
  <c r="AL415" i="1"/>
  <c r="AM415" i="1"/>
  <c r="AJ416" i="1"/>
  <c r="AK416" i="1"/>
  <c r="AL416" i="1"/>
  <c r="AM416" i="1"/>
  <c r="AJ306" i="1"/>
  <c r="AK306" i="1"/>
  <c r="AL306" i="1"/>
  <c r="AM306" i="1"/>
  <c r="AJ307" i="1"/>
  <c r="AK307" i="1"/>
  <c r="AL307" i="1"/>
  <c r="AM307" i="1"/>
  <c r="AJ308" i="1"/>
  <c r="AK308" i="1"/>
  <c r="AL308" i="1"/>
  <c r="AM308" i="1"/>
  <c r="AJ309" i="1"/>
  <c r="AK309" i="1"/>
  <c r="AL309" i="1"/>
  <c r="AM309" i="1"/>
  <c r="AJ310" i="1"/>
  <c r="AK310" i="1"/>
  <c r="AL310" i="1"/>
  <c r="AM310" i="1"/>
  <c r="AJ311" i="1"/>
  <c r="AK311" i="1"/>
  <c r="AL311" i="1"/>
  <c r="AM311" i="1"/>
  <c r="AJ312" i="1"/>
  <c r="AK312" i="1"/>
  <c r="AL312" i="1"/>
  <c r="AM312" i="1"/>
  <c r="AJ313" i="1"/>
  <c r="AK313" i="1"/>
  <c r="AL313" i="1"/>
  <c r="AM313" i="1"/>
  <c r="AJ314" i="1"/>
  <c r="AK314" i="1"/>
  <c r="AL314" i="1"/>
  <c r="AM314" i="1"/>
  <c r="AJ315" i="1"/>
  <c r="AK315" i="1"/>
  <c r="AL315" i="1"/>
  <c r="AM315" i="1"/>
  <c r="AJ316" i="1"/>
  <c r="AK316" i="1"/>
  <c r="AL316" i="1"/>
  <c r="AM316" i="1"/>
  <c r="AJ317" i="1"/>
  <c r="AK317" i="1"/>
  <c r="AL317" i="1"/>
  <c r="AM317" i="1"/>
  <c r="AJ318" i="1"/>
  <c r="AK318" i="1"/>
  <c r="AL318" i="1"/>
  <c r="AM318" i="1"/>
  <c r="AJ319" i="1"/>
  <c r="AK319" i="1"/>
  <c r="AL319" i="1"/>
  <c r="AM319" i="1"/>
  <c r="AJ320" i="1"/>
  <c r="AK320" i="1"/>
  <c r="AL320" i="1"/>
  <c r="AM320" i="1"/>
  <c r="AJ321" i="1"/>
  <c r="AK321" i="1"/>
  <c r="AL321" i="1"/>
  <c r="AM321" i="1"/>
  <c r="AJ322" i="1"/>
  <c r="AK322" i="1"/>
  <c r="AL322" i="1"/>
  <c r="AM322" i="1"/>
  <c r="AJ323" i="1"/>
  <c r="AK323" i="1"/>
  <c r="AL323" i="1"/>
  <c r="AM323" i="1"/>
  <c r="AJ324" i="1"/>
  <c r="AK324" i="1"/>
  <c r="AL324" i="1"/>
  <c r="AM324" i="1"/>
  <c r="AJ325" i="1"/>
  <c r="AK325" i="1"/>
  <c r="AL325" i="1"/>
  <c r="AM325" i="1"/>
  <c r="AJ326" i="1"/>
  <c r="AK326" i="1"/>
  <c r="AL326" i="1"/>
  <c r="AM326" i="1"/>
  <c r="AJ327" i="1"/>
  <c r="AK327" i="1"/>
  <c r="AL327" i="1"/>
  <c r="AM327" i="1"/>
  <c r="AJ328" i="1"/>
  <c r="AK328" i="1"/>
  <c r="AL328" i="1"/>
  <c r="AM328" i="1"/>
  <c r="AJ329" i="1"/>
  <c r="AK329" i="1"/>
  <c r="AL329" i="1"/>
  <c r="AM329" i="1"/>
  <c r="AJ330" i="1"/>
  <c r="AK330" i="1"/>
  <c r="AL330" i="1"/>
  <c r="AM330" i="1"/>
  <c r="AJ331" i="1"/>
  <c r="AK331" i="1"/>
  <c r="AL331" i="1"/>
  <c r="AM331" i="1"/>
  <c r="AJ332" i="1"/>
  <c r="AK332" i="1"/>
  <c r="AL332" i="1"/>
  <c r="AM332" i="1"/>
  <c r="AJ333" i="1"/>
  <c r="AK333" i="1"/>
  <c r="AL333" i="1"/>
  <c r="AM333" i="1"/>
  <c r="AJ334" i="1"/>
  <c r="AK334" i="1"/>
  <c r="AL334" i="1"/>
  <c r="AM334" i="1"/>
  <c r="AJ270" i="1"/>
  <c r="AK270" i="1"/>
  <c r="AL270" i="1"/>
  <c r="AM270" i="1"/>
  <c r="AJ272" i="1"/>
  <c r="AK272" i="1"/>
  <c r="AL272" i="1"/>
  <c r="AM272" i="1"/>
  <c r="AJ273" i="1"/>
  <c r="AK273" i="1"/>
  <c r="AL273" i="1"/>
  <c r="AM273" i="1"/>
  <c r="AJ274" i="1"/>
  <c r="AK274" i="1"/>
  <c r="AL274" i="1"/>
  <c r="AM274" i="1"/>
  <c r="AJ275" i="1"/>
  <c r="AK275" i="1"/>
  <c r="AL275" i="1"/>
  <c r="AM275" i="1"/>
  <c r="AJ276" i="1"/>
  <c r="AK276" i="1"/>
  <c r="AL276" i="1"/>
  <c r="AM276" i="1"/>
  <c r="AJ277" i="1"/>
  <c r="AK277" i="1"/>
  <c r="AL277" i="1"/>
  <c r="AM277" i="1"/>
  <c r="AJ278" i="1"/>
  <c r="AK278" i="1"/>
  <c r="AL278" i="1"/>
  <c r="AM278" i="1"/>
  <c r="AJ279" i="1"/>
  <c r="AK279" i="1"/>
  <c r="AL279" i="1"/>
  <c r="AM279" i="1"/>
  <c r="AJ280" i="1"/>
  <c r="AK280" i="1"/>
  <c r="AL280" i="1"/>
  <c r="AM280" i="1"/>
  <c r="AJ281" i="1"/>
  <c r="AK281" i="1"/>
  <c r="AL281" i="1"/>
  <c r="AM281" i="1"/>
  <c r="AJ282" i="1"/>
  <c r="AK282" i="1"/>
  <c r="AL282" i="1"/>
  <c r="AM282" i="1"/>
  <c r="AJ283" i="1"/>
  <c r="AK283" i="1"/>
  <c r="AL283" i="1"/>
  <c r="AM283" i="1"/>
  <c r="AJ284" i="1"/>
  <c r="AK284" i="1"/>
  <c r="AL284" i="1"/>
  <c r="AM284" i="1"/>
  <c r="AJ285" i="1"/>
  <c r="AK285" i="1"/>
  <c r="AL285" i="1"/>
  <c r="AM285" i="1"/>
  <c r="AJ287" i="1"/>
  <c r="AK287" i="1"/>
  <c r="AL287" i="1"/>
  <c r="AM287" i="1"/>
  <c r="AJ286" i="1"/>
  <c r="AK286" i="1"/>
  <c r="AL286" i="1"/>
  <c r="AM286" i="1"/>
  <c r="AJ288" i="1"/>
  <c r="AK288" i="1"/>
  <c r="AL288" i="1"/>
  <c r="AM288" i="1"/>
  <c r="AJ289" i="1"/>
  <c r="AK289" i="1"/>
  <c r="AL289" i="1"/>
  <c r="AM289" i="1"/>
  <c r="AJ290" i="1"/>
  <c r="AK290" i="1"/>
  <c r="AL290" i="1"/>
  <c r="AM290" i="1"/>
  <c r="AJ291" i="1"/>
  <c r="AK291" i="1"/>
  <c r="AL291" i="1"/>
  <c r="AM291" i="1"/>
  <c r="AJ292" i="1"/>
  <c r="AK292" i="1"/>
  <c r="AL292" i="1"/>
  <c r="AM292" i="1"/>
  <c r="AJ293" i="1"/>
  <c r="AK293" i="1"/>
  <c r="AL293" i="1"/>
  <c r="AM293" i="1"/>
  <c r="AJ294" i="1"/>
  <c r="AK294" i="1"/>
  <c r="AL294" i="1"/>
  <c r="AM294" i="1"/>
  <c r="AJ295" i="1"/>
  <c r="AK295" i="1"/>
  <c r="AL295" i="1"/>
  <c r="AM295" i="1"/>
  <c r="AJ296" i="1"/>
  <c r="AK296" i="1"/>
  <c r="AL296" i="1"/>
  <c r="AM296" i="1"/>
  <c r="AJ297" i="1"/>
  <c r="AK297" i="1"/>
  <c r="AL297" i="1"/>
  <c r="AM297" i="1"/>
  <c r="AJ298" i="1"/>
  <c r="AK298" i="1"/>
  <c r="AL298" i="1"/>
  <c r="AM298" i="1"/>
  <c r="AJ299" i="1"/>
  <c r="AK299" i="1"/>
  <c r="AL299" i="1"/>
  <c r="AM299" i="1"/>
  <c r="AJ301" i="1"/>
  <c r="AK301" i="1"/>
  <c r="AL301" i="1"/>
  <c r="AM301" i="1"/>
  <c r="AJ302" i="1"/>
  <c r="AK302" i="1"/>
  <c r="AL302" i="1"/>
  <c r="AM302" i="1"/>
  <c r="AJ303" i="1"/>
  <c r="AK303" i="1"/>
  <c r="AL303" i="1"/>
  <c r="AM303" i="1"/>
  <c r="AJ304" i="1"/>
  <c r="AK304" i="1"/>
  <c r="AL304" i="1"/>
  <c r="AM304" i="1"/>
  <c r="AJ305" i="1"/>
  <c r="AK305" i="1"/>
  <c r="AL305" i="1"/>
  <c r="AM305" i="1"/>
  <c r="AJ238" i="1"/>
  <c r="AK238" i="1"/>
  <c r="AL238" i="1"/>
  <c r="AM238" i="1"/>
  <c r="AJ235" i="1"/>
  <c r="AK235" i="1"/>
  <c r="AL235" i="1"/>
  <c r="AM235" i="1"/>
  <c r="AJ239" i="1"/>
  <c r="AK239" i="1"/>
  <c r="AL239" i="1"/>
  <c r="AM239" i="1"/>
  <c r="AJ248" i="1"/>
  <c r="AK248" i="1"/>
  <c r="AL248" i="1"/>
  <c r="AM248" i="1"/>
  <c r="AJ240" i="1"/>
  <c r="AK240" i="1"/>
  <c r="AL240" i="1"/>
  <c r="AM240" i="1"/>
  <c r="AJ255" i="1"/>
  <c r="AK255" i="1"/>
  <c r="AL255" i="1"/>
  <c r="AM255" i="1"/>
  <c r="AJ249" i="1"/>
  <c r="AK249" i="1"/>
  <c r="AL249" i="1"/>
  <c r="AM249" i="1"/>
  <c r="AJ256" i="1"/>
  <c r="AK256" i="1"/>
  <c r="AL256" i="1"/>
  <c r="AM256" i="1"/>
  <c r="AJ250" i="1"/>
  <c r="AK250" i="1"/>
  <c r="AL250" i="1"/>
  <c r="AM250" i="1"/>
  <c r="AJ241" i="1"/>
  <c r="AK241" i="1"/>
  <c r="AL241" i="1"/>
  <c r="AM241" i="1"/>
  <c r="AJ251" i="1"/>
  <c r="AK251" i="1"/>
  <c r="AL251" i="1"/>
  <c r="AM251" i="1"/>
  <c r="AJ252" i="1"/>
  <c r="AK252" i="1"/>
  <c r="AL252" i="1"/>
  <c r="AM252" i="1"/>
  <c r="AJ253" i="1"/>
  <c r="AK253" i="1"/>
  <c r="AL253" i="1"/>
  <c r="AM253" i="1"/>
  <c r="AJ254" i="1"/>
  <c r="AK254" i="1"/>
  <c r="AL254" i="1"/>
  <c r="AM254" i="1"/>
  <c r="AJ242" i="1"/>
  <c r="AK242" i="1"/>
  <c r="AL242" i="1"/>
  <c r="AM242" i="1"/>
  <c r="AJ243" i="1"/>
  <c r="AK243" i="1"/>
  <c r="AL243" i="1"/>
  <c r="AM243" i="1"/>
  <c r="AJ244" i="1"/>
  <c r="AK244" i="1"/>
  <c r="AL244" i="1"/>
  <c r="AM244" i="1"/>
  <c r="AJ245" i="1"/>
  <c r="AK245" i="1"/>
  <c r="AL245" i="1"/>
  <c r="AM245" i="1"/>
  <c r="AJ246" i="1"/>
  <c r="AK246" i="1"/>
  <c r="AL246" i="1"/>
  <c r="AM246" i="1"/>
  <c r="AJ247" i="1"/>
  <c r="AK247" i="1"/>
  <c r="AL247" i="1"/>
  <c r="AM247" i="1"/>
  <c r="AJ257" i="1"/>
  <c r="AK257" i="1"/>
  <c r="AL257" i="1"/>
  <c r="AM257" i="1"/>
  <c r="AJ258" i="1"/>
  <c r="AK258" i="1"/>
  <c r="AL258" i="1"/>
  <c r="AM258" i="1"/>
  <c r="AJ259" i="1"/>
  <c r="AK259" i="1"/>
  <c r="AL259" i="1"/>
  <c r="AM259" i="1"/>
  <c r="AJ260" i="1"/>
  <c r="AK260" i="1"/>
  <c r="AL260" i="1"/>
  <c r="AM260" i="1"/>
  <c r="AJ261" i="1"/>
  <c r="AK261" i="1"/>
  <c r="AL261" i="1"/>
  <c r="AM261" i="1"/>
  <c r="AJ262" i="1"/>
  <c r="AK262" i="1"/>
  <c r="AL262" i="1"/>
  <c r="AM262" i="1"/>
  <c r="AJ263" i="1"/>
  <c r="AK263" i="1"/>
  <c r="AL263" i="1"/>
  <c r="AM263" i="1"/>
  <c r="AJ264" i="1"/>
  <c r="AK264" i="1"/>
  <c r="AL264" i="1"/>
  <c r="AM264" i="1"/>
  <c r="AJ265" i="1"/>
  <c r="AK265" i="1"/>
  <c r="AL265" i="1"/>
  <c r="AM265" i="1"/>
  <c r="AJ266" i="1"/>
  <c r="AK266" i="1"/>
  <c r="AL266" i="1"/>
  <c r="AM266" i="1"/>
  <c r="AJ267" i="1"/>
  <c r="AK267" i="1"/>
  <c r="AL267" i="1"/>
  <c r="AM267" i="1"/>
  <c r="AJ268" i="1"/>
  <c r="AK268" i="1"/>
  <c r="AL268" i="1"/>
  <c r="AM268" i="1"/>
  <c r="AJ269" i="1"/>
  <c r="AK269" i="1"/>
  <c r="AL269" i="1"/>
  <c r="AM269" i="1"/>
  <c r="AJ271" i="1"/>
  <c r="AK271" i="1"/>
  <c r="AL271" i="1"/>
  <c r="AM271" i="1"/>
  <c r="AJ197" i="1"/>
  <c r="AK197" i="1"/>
  <c r="AL197" i="1"/>
  <c r="AM197" i="1"/>
  <c r="AJ198" i="1"/>
  <c r="AK198" i="1"/>
  <c r="AL198" i="1"/>
  <c r="AM198" i="1"/>
  <c r="AJ199" i="1"/>
  <c r="AK199" i="1"/>
  <c r="AL199" i="1"/>
  <c r="AM199" i="1"/>
  <c r="AJ200" i="1"/>
  <c r="AK200" i="1"/>
  <c r="AL200" i="1"/>
  <c r="AM200" i="1"/>
  <c r="AJ201" i="1"/>
  <c r="AK201" i="1"/>
  <c r="AL201" i="1"/>
  <c r="AM201" i="1"/>
  <c r="AJ202" i="1"/>
  <c r="AK202" i="1"/>
  <c r="AL202" i="1"/>
  <c r="AM202" i="1"/>
  <c r="AJ203" i="1"/>
  <c r="AK203" i="1"/>
  <c r="AL203" i="1"/>
  <c r="AM203" i="1"/>
  <c r="AJ204" i="1"/>
  <c r="AK204" i="1"/>
  <c r="AL204" i="1"/>
  <c r="AM204" i="1"/>
  <c r="AJ207" i="1"/>
  <c r="AK207" i="1"/>
  <c r="AL207" i="1"/>
  <c r="AM207" i="1"/>
  <c r="AJ205" i="1"/>
  <c r="AK205" i="1"/>
  <c r="AL205" i="1"/>
  <c r="AM205" i="1"/>
  <c r="AJ206" i="1"/>
  <c r="AK206" i="1"/>
  <c r="AL206" i="1"/>
  <c r="AM206" i="1"/>
  <c r="AJ209" i="1"/>
  <c r="AK209" i="1"/>
  <c r="AL209" i="1"/>
  <c r="AM209" i="1"/>
  <c r="AJ210" i="1"/>
  <c r="AK210" i="1"/>
  <c r="AL210" i="1"/>
  <c r="AM210" i="1"/>
  <c r="AJ213" i="1"/>
  <c r="AK213" i="1"/>
  <c r="AL213" i="1"/>
  <c r="AM213" i="1"/>
  <c r="AJ211" i="1"/>
  <c r="AK211" i="1"/>
  <c r="AL211" i="1"/>
  <c r="AM211" i="1"/>
  <c r="AJ212" i="1"/>
  <c r="AK212" i="1"/>
  <c r="AL212" i="1"/>
  <c r="AM212" i="1"/>
  <c r="AJ208" i="1"/>
  <c r="AK208" i="1"/>
  <c r="AL208" i="1"/>
  <c r="AM208" i="1"/>
  <c r="AJ214" i="1"/>
  <c r="AK214" i="1"/>
  <c r="AL214" i="1"/>
  <c r="AM214" i="1"/>
  <c r="AJ215" i="1"/>
  <c r="AK215" i="1"/>
  <c r="AL215" i="1"/>
  <c r="AM215" i="1"/>
  <c r="AJ216" i="1"/>
  <c r="AK216" i="1"/>
  <c r="AL216" i="1"/>
  <c r="AM216" i="1"/>
  <c r="AJ217" i="1"/>
  <c r="AK217" i="1"/>
  <c r="AL217" i="1"/>
  <c r="AM217" i="1"/>
  <c r="AJ218" i="1"/>
  <c r="AK218" i="1"/>
  <c r="AL218" i="1"/>
  <c r="AM218" i="1"/>
  <c r="AJ219" i="1"/>
  <c r="AK219" i="1"/>
  <c r="AL219" i="1"/>
  <c r="AM219" i="1"/>
  <c r="AJ220" i="1"/>
  <c r="AK220" i="1"/>
  <c r="AL220" i="1"/>
  <c r="AM220" i="1"/>
  <c r="AJ221" i="1"/>
  <c r="AK221" i="1"/>
  <c r="AL221" i="1"/>
  <c r="AM221" i="1"/>
  <c r="AJ222" i="1"/>
  <c r="AK222" i="1"/>
  <c r="AL222" i="1"/>
  <c r="AM222" i="1"/>
  <c r="AJ223" i="1"/>
  <c r="AK223" i="1"/>
  <c r="AL223" i="1"/>
  <c r="AM223" i="1"/>
  <c r="AJ224" i="1"/>
  <c r="AK224" i="1"/>
  <c r="AL224" i="1"/>
  <c r="AM224" i="1"/>
  <c r="AJ225" i="1"/>
  <c r="AK225" i="1"/>
  <c r="AL225" i="1"/>
  <c r="AM225" i="1"/>
  <c r="AJ226" i="1"/>
  <c r="AK226" i="1"/>
  <c r="AL226" i="1"/>
  <c r="AM226" i="1"/>
  <c r="AJ227" i="1"/>
  <c r="AK227" i="1"/>
  <c r="AL227" i="1"/>
  <c r="AM227" i="1"/>
  <c r="AJ228" i="1"/>
  <c r="AK228" i="1"/>
  <c r="AL228" i="1"/>
  <c r="AM228" i="1"/>
  <c r="AJ229" i="1"/>
  <c r="AK229" i="1"/>
  <c r="AL229" i="1"/>
  <c r="AM229" i="1"/>
  <c r="AJ230" i="1"/>
  <c r="AK230" i="1"/>
  <c r="AL230" i="1"/>
  <c r="AM230" i="1"/>
  <c r="AJ231" i="1"/>
  <c r="AK231" i="1"/>
  <c r="AL231" i="1"/>
  <c r="AM231" i="1"/>
  <c r="AJ232" i="1"/>
  <c r="AK232" i="1"/>
  <c r="AL232" i="1"/>
  <c r="AM232" i="1"/>
  <c r="AJ233" i="1"/>
  <c r="AK233" i="1"/>
  <c r="AL233" i="1"/>
  <c r="AM233" i="1"/>
  <c r="AJ234" i="1"/>
  <c r="AK234" i="1"/>
  <c r="AL234" i="1"/>
  <c r="AM234" i="1"/>
  <c r="AJ236" i="1"/>
  <c r="AK236" i="1"/>
  <c r="AL236" i="1"/>
  <c r="AM236" i="1"/>
  <c r="AJ237" i="1"/>
  <c r="AK237" i="1"/>
  <c r="AL237" i="1"/>
  <c r="AM237" i="1"/>
  <c r="AJ164" i="1"/>
  <c r="AK164" i="1"/>
  <c r="AL164" i="1"/>
  <c r="AM164" i="1"/>
  <c r="AJ165" i="1"/>
  <c r="AK165" i="1"/>
  <c r="AL165" i="1"/>
  <c r="AM165" i="1"/>
  <c r="AJ169" i="1"/>
  <c r="AK169" i="1"/>
  <c r="AL169" i="1"/>
  <c r="AM169" i="1"/>
  <c r="AJ166" i="1"/>
  <c r="AK166" i="1"/>
  <c r="AL166" i="1"/>
  <c r="AM166" i="1"/>
  <c r="AJ170" i="1"/>
  <c r="AK170" i="1"/>
  <c r="AL170" i="1"/>
  <c r="AM170" i="1"/>
  <c r="AJ167" i="1"/>
  <c r="AK167" i="1"/>
  <c r="AL167" i="1"/>
  <c r="AM167" i="1"/>
  <c r="AJ168" i="1"/>
  <c r="AK168" i="1"/>
  <c r="AL168" i="1"/>
  <c r="AM168" i="1"/>
  <c r="AJ171" i="1"/>
  <c r="AK171" i="1"/>
  <c r="AL171" i="1"/>
  <c r="AM171" i="1"/>
  <c r="AJ172" i="1"/>
  <c r="AK172" i="1"/>
  <c r="AL172" i="1"/>
  <c r="AM172" i="1"/>
  <c r="AJ173" i="1"/>
  <c r="AK173" i="1"/>
  <c r="AL173" i="1"/>
  <c r="AM173" i="1"/>
  <c r="AJ174" i="1"/>
  <c r="AK174" i="1"/>
  <c r="AL174" i="1"/>
  <c r="AM174" i="1"/>
  <c r="AJ175" i="1"/>
  <c r="AK175" i="1"/>
  <c r="AL175" i="1"/>
  <c r="AM175" i="1"/>
  <c r="AJ176" i="1"/>
  <c r="AK176" i="1"/>
  <c r="AL176" i="1"/>
  <c r="AM176" i="1"/>
  <c r="AJ177" i="1"/>
  <c r="AK177" i="1"/>
  <c r="AL177" i="1"/>
  <c r="AM177" i="1"/>
  <c r="AJ178" i="1"/>
  <c r="AK178" i="1"/>
  <c r="AL178" i="1"/>
  <c r="AM178" i="1"/>
  <c r="AJ179" i="1"/>
  <c r="AK179" i="1"/>
  <c r="AL179" i="1"/>
  <c r="AM179" i="1"/>
  <c r="AJ180" i="1"/>
  <c r="AK180" i="1"/>
  <c r="AL180" i="1"/>
  <c r="AM180" i="1"/>
  <c r="AJ187" i="1"/>
  <c r="AK187" i="1"/>
  <c r="AL187" i="1"/>
  <c r="AM187" i="1"/>
  <c r="AJ181" i="1"/>
  <c r="AK181" i="1"/>
  <c r="AL181" i="1"/>
  <c r="AM181" i="1"/>
  <c r="AJ182" i="1"/>
  <c r="AK182" i="1"/>
  <c r="AL182" i="1"/>
  <c r="AM182" i="1"/>
  <c r="AJ188" i="1"/>
  <c r="AK188" i="1"/>
  <c r="AL188" i="1"/>
  <c r="AM188" i="1"/>
  <c r="AJ183" i="1"/>
  <c r="AK183" i="1"/>
  <c r="AL183" i="1"/>
  <c r="AM183" i="1"/>
  <c r="AJ184" i="1"/>
  <c r="AK184" i="1"/>
  <c r="AL184" i="1"/>
  <c r="AM184" i="1"/>
  <c r="AJ185" i="1"/>
  <c r="AK185" i="1"/>
  <c r="AL185" i="1"/>
  <c r="AM185" i="1"/>
  <c r="AJ186" i="1"/>
  <c r="AK186" i="1"/>
  <c r="AL186" i="1"/>
  <c r="AM186" i="1"/>
  <c r="AJ189" i="1"/>
  <c r="AK189" i="1"/>
  <c r="AL189" i="1"/>
  <c r="AM189" i="1"/>
  <c r="AJ190" i="1"/>
  <c r="AK190" i="1"/>
  <c r="AL190" i="1"/>
  <c r="AM190" i="1"/>
  <c r="AJ191" i="1"/>
  <c r="AK191" i="1"/>
  <c r="AL191" i="1"/>
  <c r="AM191" i="1"/>
  <c r="AJ192" i="1"/>
  <c r="AK192" i="1"/>
  <c r="AL192" i="1"/>
  <c r="AM192" i="1"/>
  <c r="AJ194" i="1"/>
  <c r="AK194" i="1"/>
  <c r="AL194" i="1"/>
  <c r="AM194" i="1"/>
  <c r="AJ193" i="1"/>
  <c r="AK193" i="1"/>
  <c r="AL193" i="1"/>
  <c r="AM193" i="1"/>
  <c r="AJ195" i="1"/>
  <c r="AK195" i="1"/>
  <c r="AL195" i="1"/>
  <c r="AM195" i="1"/>
  <c r="AJ196" i="1"/>
  <c r="AK196" i="1"/>
  <c r="AL196" i="1"/>
  <c r="AM196" i="1"/>
  <c r="AJ132" i="1"/>
  <c r="AK132" i="1"/>
  <c r="AL132" i="1"/>
  <c r="AM132" i="1"/>
  <c r="AJ133" i="1"/>
  <c r="AK133" i="1"/>
  <c r="AL133" i="1"/>
  <c r="AM133" i="1"/>
  <c r="AJ134" i="1"/>
  <c r="AK134" i="1"/>
  <c r="AL134" i="1"/>
  <c r="AM134" i="1"/>
  <c r="AJ135" i="1"/>
  <c r="AK135" i="1"/>
  <c r="AL135" i="1"/>
  <c r="AM135" i="1"/>
  <c r="AJ149" i="1"/>
  <c r="AK149" i="1"/>
  <c r="AL149" i="1"/>
  <c r="AM149" i="1"/>
  <c r="AJ136" i="1"/>
  <c r="AK136" i="1"/>
  <c r="AL136" i="1"/>
  <c r="AM136" i="1"/>
  <c r="AJ137" i="1"/>
  <c r="AK137" i="1"/>
  <c r="AL137" i="1"/>
  <c r="AM137" i="1"/>
  <c r="AJ138" i="1"/>
  <c r="AK138" i="1"/>
  <c r="AL138" i="1"/>
  <c r="AM138" i="1"/>
  <c r="AJ139" i="1"/>
  <c r="AK139" i="1"/>
  <c r="AL139" i="1"/>
  <c r="AM139" i="1"/>
  <c r="AJ140" i="1"/>
  <c r="AK140" i="1"/>
  <c r="AL140" i="1"/>
  <c r="AM140" i="1"/>
  <c r="AJ141" i="1"/>
  <c r="AK141" i="1"/>
  <c r="AL141" i="1"/>
  <c r="AM141" i="1"/>
  <c r="AJ142" i="1"/>
  <c r="AK142" i="1"/>
  <c r="AL142" i="1"/>
  <c r="AM142" i="1"/>
  <c r="AJ143" i="1"/>
  <c r="AK143" i="1"/>
  <c r="AL143" i="1"/>
  <c r="AM143" i="1"/>
  <c r="AJ144" i="1"/>
  <c r="AK144" i="1"/>
  <c r="AL144" i="1"/>
  <c r="AM144" i="1"/>
  <c r="AJ145" i="1"/>
  <c r="AK145" i="1"/>
  <c r="AL145" i="1"/>
  <c r="AM145" i="1"/>
  <c r="AJ146" i="1"/>
  <c r="AK146" i="1"/>
  <c r="AL146" i="1"/>
  <c r="AM146" i="1"/>
  <c r="AJ147" i="1"/>
  <c r="AK147" i="1"/>
  <c r="AL147" i="1"/>
  <c r="AM147" i="1"/>
  <c r="AJ148" i="1"/>
  <c r="AK148" i="1"/>
  <c r="AL148" i="1"/>
  <c r="AM148" i="1"/>
  <c r="AJ150" i="1"/>
  <c r="AK150" i="1"/>
  <c r="AL150" i="1"/>
  <c r="AM150" i="1"/>
  <c r="AJ151" i="1"/>
  <c r="AK151" i="1"/>
  <c r="AL151" i="1"/>
  <c r="AM151" i="1"/>
  <c r="AJ152" i="1"/>
  <c r="AK152" i="1"/>
  <c r="AL152" i="1"/>
  <c r="AM152" i="1"/>
  <c r="AJ153" i="1"/>
  <c r="AK153" i="1"/>
  <c r="AL153" i="1"/>
  <c r="AM153" i="1"/>
  <c r="AJ154" i="1"/>
  <c r="AK154" i="1"/>
  <c r="AL154" i="1"/>
  <c r="AM154" i="1"/>
  <c r="AJ155" i="1"/>
  <c r="AK155" i="1"/>
  <c r="AL155" i="1"/>
  <c r="AM155" i="1"/>
  <c r="AJ156" i="1"/>
  <c r="AK156" i="1"/>
  <c r="AL156" i="1"/>
  <c r="AM156" i="1"/>
  <c r="AJ157" i="1"/>
  <c r="AK157" i="1"/>
  <c r="AL157" i="1"/>
  <c r="AM157" i="1"/>
  <c r="AJ158" i="1"/>
  <c r="AK158" i="1"/>
  <c r="AL158" i="1"/>
  <c r="AM158" i="1"/>
  <c r="AJ159" i="1"/>
  <c r="AK159" i="1"/>
  <c r="AL159" i="1"/>
  <c r="AM159" i="1"/>
  <c r="AJ160" i="1"/>
  <c r="AK160" i="1"/>
  <c r="AL160" i="1"/>
  <c r="AM160" i="1"/>
  <c r="AJ161" i="1"/>
  <c r="AK161" i="1"/>
  <c r="AL161" i="1"/>
  <c r="AM161" i="1"/>
  <c r="AJ162" i="1"/>
  <c r="AK162" i="1"/>
  <c r="AL162" i="1"/>
  <c r="AM162" i="1"/>
  <c r="AJ163" i="1"/>
  <c r="AK163" i="1"/>
  <c r="AL163" i="1"/>
  <c r="AM163" i="1"/>
  <c r="AJ108" i="1"/>
  <c r="AK108" i="1"/>
  <c r="AL108" i="1"/>
  <c r="AM108" i="1"/>
  <c r="AJ109" i="1"/>
  <c r="AK109" i="1"/>
  <c r="AL109" i="1"/>
  <c r="AM109" i="1"/>
  <c r="AJ110" i="1"/>
  <c r="AK110" i="1"/>
  <c r="AL110" i="1"/>
  <c r="AM110" i="1"/>
  <c r="AJ111" i="1"/>
  <c r="AK111" i="1"/>
  <c r="AL111" i="1"/>
  <c r="AM111" i="1"/>
  <c r="AJ112" i="1"/>
  <c r="AK112" i="1"/>
  <c r="AL112" i="1"/>
  <c r="AM112" i="1"/>
  <c r="AJ115" i="1"/>
  <c r="AK115" i="1"/>
  <c r="AL115" i="1"/>
  <c r="AM115" i="1"/>
  <c r="AJ113" i="1"/>
  <c r="AK113" i="1"/>
  <c r="AL113" i="1"/>
  <c r="AM113" i="1"/>
  <c r="AJ114" i="1"/>
  <c r="AK114" i="1"/>
  <c r="AL114" i="1"/>
  <c r="AM114" i="1"/>
  <c r="AJ116" i="1"/>
  <c r="AK116" i="1"/>
  <c r="AL116" i="1"/>
  <c r="AM116" i="1"/>
  <c r="AJ117" i="1"/>
  <c r="AK117" i="1"/>
  <c r="AL117" i="1"/>
  <c r="AM117" i="1"/>
  <c r="AJ118" i="1"/>
  <c r="AK118" i="1"/>
  <c r="AL118" i="1"/>
  <c r="AM118" i="1"/>
  <c r="AJ119" i="1"/>
  <c r="AK119" i="1"/>
  <c r="AL119" i="1"/>
  <c r="AM119" i="1"/>
  <c r="AJ120" i="1"/>
  <c r="AK120" i="1"/>
  <c r="AL120" i="1"/>
  <c r="AM120" i="1"/>
  <c r="AJ121" i="1"/>
  <c r="AK121" i="1"/>
  <c r="AL121" i="1"/>
  <c r="AM121" i="1"/>
  <c r="AJ122" i="1"/>
  <c r="AK122" i="1"/>
  <c r="AL122" i="1"/>
  <c r="AM122" i="1"/>
  <c r="AJ123" i="1"/>
  <c r="AK123" i="1"/>
  <c r="AL123" i="1"/>
  <c r="AM123" i="1"/>
  <c r="AJ124" i="1"/>
  <c r="AK124" i="1"/>
  <c r="AL124" i="1"/>
  <c r="AM124" i="1"/>
  <c r="AJ125" i="1"/>
  <c r="AK125" i="1"/>
  <c r="AL125" i="1"/>
  <c r="AM125" i="1"/>
  <c r="AJ126" i="1"/>
  <c r="AK126" i="1"/>
  <c r="AL126" i="1"/>
  <c r="AM126" i="1"/>
  <c r="AJ127" i="1"/>
  <c r="AK127" i="1"/>
  <c r="AL127" i="1"/>
  <c r="AM127" i="1"/>
  <c r="AJ128" i="1"/>
  <c r="AK128" i="1"/>
  <c r="AL128" i="1"/>
  <c r="AM128" i="1"/>
  <c r="AJ129" i="1"/>
  <c r="AK129" i="1"/>
  <c r="AL129" i="1"/>
  <c r="AM129" i="1"/>
  <c r="AJ130" i="1"/>
  <c r="AK130" i="1"/>
  <c r="AL130" i="1"/>
  <c r="AM130" i="1"/>
  <c r="AJ131" i="1"/>
  <c r="AK131" i="1"/>
  <c r="AL131" i="1"/>
  <c r="AM131" i="1"/>
  <c r="AJ60" i="1"/>
  <c r="AK60" i="1"/>
  <c r="AL60" i="1"/>
  <c r="AM60" i="1"/>
  <c r="AJ61" i="1"/>
  <c r="AK61" i="1"/>
  <c r="AL61" i="1"/>
  <c r="AM61" i="1"/>
  <c r="AJ62" i="1"/>
  <c r="AK62" i="1"/>
  <c r="AL62" i="1"/>
  <c r="AM62" i="1"/>
  <c r="AJ63" i="1"/>
  <c r="AK63" i="1"/>
  <c r="AL63" i="1"/>
  <c r="AM63" i="1"/>
  <c r="AJ66" i="1"/>
  <c r="AK66" i="1"/>
  <c r="AL66" i="1"/>
  <c r="AM66" i="1"/>
  <c r="AJ64" i="1"/>
  <c r="AK64" i="1"/>
  <c r="AL64" i="1"/>
  <c r="AM64" i="1"/>
  <c r="AJ65" i="1"/>
  <c r="AK65" i="1"/>
  <c r="AL65" i="1"/>
  <c r="AM65" i="1"/>
  <c r="AJ67" i="1"/>
  <c r="AK67" i="1"/>
  <c r="AL67" i="1"/>
  <c r="AM67" i="1"/>
  <c r="AJ93" i="1"/>
  <c r="AK93" i="1"/>
  <c r="AL93" i="1"/>
  <c r="AM93" i="1"/>
  <c r="AJ94" i="1"/>
  <c r="AK94" i="1"/>
  <c r="AL94" i="1"/>
  <c r="AM94" i="1"/>
  <c r="AJ68" i="1"/>
  <c r="AK68" i="1"/>
  <c r="AL68" i="1"/>
  <c r="AM68" i="1"/>
  <c r="AJ69" i="1"/>
  <c r="AK69" i="1"/>
  <c r="AL69" i="1"/>
  <c r="AM69" i="1"/>
  <c r="AJ70" i="1"/>
  <c r="AK70" i="1"/>
  <c r="AL70" i="1"/>
  <c r="AM70" i="1"/>
  <c r="AJ71" i="1"/>
  <c r="AK71" i="1"/>
  <c r="AL71" i="1"/>
  <c r="AM71" i="1"/>
  <c r="AJ95" i="1"/>
  <c r="AK95" i="1"/>
  <c r="AL95" i="1"/>
  <c r="AM95" i="1"/>
  <c r="AJ72" i="1"/>
  <c r="AK72" i="1"/>
  <c r="AL72" i="1"/>
  <c r="AM72" i="1"/>
  <c r="AJ73" i="1"/>
  <c r="AK73" i="1"/>
  <c r="AL73" i="1"/>
  <c r="AM73" i="1"/>
  <c r="AJ96" i="1"/>
  <c r="AK96" i="1"/>
  <c r="AL96" i="1"/>
  <c r="AM96" i="1"/>
  <c r="AJ74" i="1"/>
  <c r="AK74" i="1"/>
  <c r="AL74" i="1"/>
  <c r="AM74" i="1"/>
  <c r="AJ75" i="1"/>
  <c r="AK75" i="1"/>
  <c r="AL75" i="1"/>
  <c r="AM75" i="1"/>
  <c r="AJ76" i="1"/>
  <c r="AK76" i="1"/>
  <c r="AL76" i="1"/>
  <c r="AM76" i="1"/>
  <c r="AJ77" i="1"/>
  <c r="AK77" i="1"/>
  <c r="AL77" i="1"/>
  <c r="AM77" i="1"/>
  <c r="AJ78" i="1"/>
  <c r="AK78" i="1"/>
  <c r="AL78" i="1"/>
  <c r="AM78" i="1"/>
  <c r="AJ79" i="1"/>
  <c r="AK79" i="1"/>
  <c r="AL79" i="1"/>
  <c r="AM79" i="1"/>
  <c r="AJ80" i="1"/>
  <c r="AK80" i="1"/>
  <c r="AL80" i="1"/>
  <c r="AM80" i="1"/>
  <c r="AJ97" i="1"/>
  <c r="AK97" i="1"/>
  <c r="AL97" i="1"/>
  <c r="AM97" i="1"/>
  <c r="AJ81" i="1"/>
  <c r="AK81" i="1"/>
  <c r="AL81" i="1"/>
  <c r="AM81" i="1"/>
  <c r="AJ82" i="1"/>
  <c r="AK82" i="1"/>
  <c r="AL82" i="1"/>
  <c r="AM82" i="1"/>
  <c r="AJ83" i="1"/>
  <c r="AK83" i="1"/>
  <c r="AL83" i="1"/>
  <c r="AM83" i="1"/>
  <c r="AJ98" i="1"/>
  <c r="AK98" i="1"/>
  <c r="AL98" i="1"/>
  <c r="AM98" i="1"/>
  <c r="AJ84" i="1"/>
  <c r="AK84" i="1"/>
  <c r="AL84" i="1"/>
  <c r="AM84" i="1"/>
  <c r="AJ99" i="1"/>
  <c r="AK99" i="1"/>
  <c r="AL99" i="1"/>
  <c r="AM99" i="1"/>
  <c r="AJ100" i="1"/>
  <c r="AK100" i="1"/>
  <c r="AL100" i="1"/>
  <c r="AM100" i="1"/>
  <c r="AJ85" i="1"/>
  <c r="AK85" i="1"/>
  <c r="AL85" i="1"/>
  <c r="AM85" i="1"/>
  <c r="AJ101" i="1"/>
  <c r="AK101" i="1"/>
  <c r="AL101" i="1"/>
  <c r="AM101" i="1"/>
  <c r="AJ86" i="1"/>
  <c r="AK86" i="1"/>
  <c r="AL86" i="1"/>
  <c r="AM86" i="1"/>
  <c r="AJ87" i="1"/>
  <c r="AK87" i="1"/>
  <c r="AL87" i="1"/>
  <c r="AM87" i="1"/>
  <c r="AJ88" i="1"/>
  <c r="AK88" i="1"/>
  <c r="AL88" i="1"/>
  <c r="AM88" i="1"/>
  <c r="AJ89" i="1"/>
  <c r="AK89" i="1"/>
  <c r="AL89" i="1"/>
  <c r="AM89" i="1"/>
  <c r="AJ90" i="1"/>
  <c r="AK90" i="1"/>
  <c r="AL90" i="1"/>
  <c r="AM90" i="1"/>
  <c r="AJ91" i="1"/>
  <c r="AK91" i="1"/>
  <c r="AL91" i="1"/>
  <c r="AM91" i="1"/>
  <c r="AJ92" i="1"/>
  <c r="AK92" i="1"/>
  <c r="AL92" i="1"/>
  <c r="AM92" i="1"/>
  <c r="AJ102" i="1"/>
  <c r="AK102" i="1"/>
  <c r="AL102" i="1"/>
  <c r="AM102" i="1"/>
  <c r="AJ103" i="1"/>
  <c r="AK103" i="1"/>
  <c r="AL103" i="1"/>
  <c r="AM103" i="1"/>
  <c r="AJ104" i="1"/>
  <c r="AK104" i="1"/>
  <c r="AL104" i="1"/>
  <c r="AM104" i="1"/>
  <c r="AJ105" i="1"/>
  <c r="AK105" i="1"/>
  <c r="AL105" i="1"/>
  <c r="AM105" i="1"/>
  <c r="AJ106" i="1"/>
  <c r="AK106" i="1"/>
  <c r="AL106" i="1"/>
  <c r="AM106" i="1"/>
  <c r="AJ107" i="1"/>
  <c r="AK107" i="1"/>
  <c r="AL107" i="1"/>
  <c r="AM107" i="1"/>
  <c r="AJ22" i="1"/>
  <c r="AK22" i="1"/>
  <c r="AL22" i="1"/>
  <c r="AM22" i="1"/>
  <c r="AJ23" i="1"/>
  <c r="AK23" i="1"/>
  <c r="AL23" i="1"/>
  <c r="AM23" i="1"/>
  <c r="AJ24" i="1"/>
  <c r="AK24" i="1"/>
  <c r="AL24" i="1"/>
  <c r="AM24" i="1"/>
  <c r="AJ25" i="1"/>
  <c r="AK25" i="1"/>
  <c r="AL25" i="1"/>
  <c r="AM25" i="1"/>
  <c r="AJ26" i="1"/>
  <c r="AK26" i="1"/>
  <c r="AL26" i="1"/>
  <c r="AM26" i="1"/>
  <c r="AJ27" i="1"/>
  <c r="AK27" i="1"/>
  <c r="AL27" i="1"/>
  <c r="AM27" i="1"/>
  <c r="AJ28" i="1"/>
  <c r="AK28" i="1"/>
  <c r="AL28" i="1"/>
  <c r="AM28" i="1"/>
  <c r="AJ29" i="1"/>
  <c r="AK29" i="1"/>
  <c r="AL29" i="1"/>
  <c r="AM29" i="1"/>
  <c r="AJ30" i="1"/>
  <c r="AK30" i="1"/>
  <c r="AL30" i="1"/>
  <c r="AM30" i="1"/>
  <c r="AJ31" i="1"/>
  <c r="AK31" i="1"/>
  <c r="AL31" i="1"/>
  <c r="AM31" i="1"/>
  <c r="AJ32" i="1"/>
  <c r="AK32" i="1"/>
  <c r="AL32" i="1"/>
  <c r="AM32" i="1"/>
  <c r="AJ36" i="1"/>
  <c r="AK36" i="1"/>
  <c r="AL36" i="1"/>
  <c r="AM36" i="1"/>
  <c r="AJ33" i="1"/>
  <c r="AK33" i="1"/>
  <c r="AL33" i="1"/>
  <c r="AM33" i="1"/>
  <c r="AJ34" i="1"/>
  <c r="AK34" i="1"/>
  <c r="AL34" i="1"/>
  <c r="AM34" i="1"/>
  <c r="AJ35" i="1"/>
  <c r="AK35" i="1"/>
  <c r="AL35" i="1"/>
  <c r="AM35" i="1"/>
  <c r="AJ37" i="1"/>
  <c r="AK37" i="1"/>
  <c r="AL37" i="1"/>
  <c r="AM37" i="1"/>
  <c r="AJ38" i="1"/>
  <c r="AK38" i="1"/>
  <c r="AL38" i="1"/>
  <c r="AM38" i="1"/>
  <c r="AJ39" i="1"/>
  <c r="AK39" i="1"/>
  <c r="AL39" i="1"/>
  <c r="AM39" i="1"/>
  <c r="AJ40" i="1"/>
  <c r="AK40" i="1"/>
  <c r="AL40" i="1"/>
  <c r="AM40" i="1"/>
  <c r="AJ45" i="1"/>
  <c r="AK45" i="1"/>
  <c r="AL45" i="1"/>
  <c r="AM45" i="1"/>
  <c r="AJ46" i="1"/>
  <c r="AK46" i="1"/>
  <c r="AL46" i="1"/>
  <c r="AM46" i="1"/>
  <c r="AJ41" i="1"/>
  <c r="AK41" i="1"/>
  <c r="AL41" i="1"/>
  <c r="AM41" i="1"/>
  <c r="AJ42" i="1"/>
  <c r="AK42" i="1"/>
  <c r="AL42" i="1"/>
  <c r="AM42" i="1"/>
  <c r="AJ43" i="1"/>
  <c r="AK43" i="1"/>
  <c r="AL43" i="1"/>
  <c r="AM43" i="1"/>
  <c r="AJ47" i="1"/>
  <c r="AK47" i="1"/>
  <c r="AL47" i="1"/>
  <c r="AM47" i="1"/>
  <c r="AJ48" i="1"/>
  <c r="AK48" i="1"/>
  <c r="AL48" i="1"/>
  <c r="AM48" i="1"/>
  <c r="AJ49" i="1"/>
  <c r="AK49" i="1"/>
  <c r="AL49" i="1"/>
  <c r="AM49" i="1"/>
  <c r="AJ44" i="1"/>
  <c r="AK44" i="1"/>
  <c r="AL44" i="1"/>
  <c r="AM44" i="1"/>
  <c r="AJ50" i="1"/>
  <c r="AK50" i="1"/>
  <c r="AL50" i="1"/>
  <c r="AM50" i="1"/>
  <c r="AJ51" i="1"/>
  <c r="AK51" i="1"/>
  <c r="AL51" i="1"/>
  <c r="AM51" i="1"/>
  <c r="AJ52" i="1"/>
  <c r="AK52" i="1"/>
  <c r="AL52" i="1"/>
  <c r="AM52" i="1"/>
  <c r="AJ53" i="1"/>
  <c r="AK53" i="1"/>
  <c r="AL53" i="1"/>
  <c r="AM53" i="1"/>
  <c r="AJ54" i="1"/>
  <c r="AK54" i="1"/>
  <c r="AL54" i="1"/>
  <c r="AM54" i="1"/>
  <c r="AJ55" i="1"/>
  <c r="AK55" i="1"/>
  <c r="AL55" i="1"/>
  <c r="AM55" i="1"/>
  <c r="AJ56" i="1"/>
  <c r="AK56" i="1"/>
  <c r="AL56" i="1"/>
  <c r="AM56" i="1"/>
  <c r="AJ57" i="1"/>
  <c r="AK57" i="1"/>
  <c r="AL57" i="1"/>
  <c r="AM57" i="1"/>
  <c r="AJ58" i="1"/>
  <c r="AK58" i="1"/>
  <c r="AL58" i="1"/>
  <c r="AM58" i="1"/>
  <c r="AJ59" i="1"/>
  <c r="AK59" i="1"/>
  <c r="AL59" i="1"/>
  <c r="AM59" i="1"/>
  <c r="AJ15" i="1"/>
  <c r="AK15" i="1"/>
  <c r="AL15" i="1"/>
  <c r="AM15" i="1"/>
  <c r="AJ16" i="1"/>
  <c r="AK16" i="1"/>
  <c r="AL16" i="1"/>
  <c r="AM16" i="1"/>
  <c r="AJ17" i="1"/>
  <c r="AK17" i="1"/>
  <c r="AL17" i="1"/>
  <c r="AM17" i="1"/>
  <c r="AJ18" i="1"/>
  <c r="AK18" i="1"/>
  <c r="AL18" i="1"/>
  <c r="AM18" i="1"/>
  <c r="AJ19" i="1"/>
  <c r="AK19" i="1"/>
  <c r="AL19" i="1"/>
  <c r="AM19" i="1"/>
  <c r="AJ20" i="1"/>
  <c r="AK20" i="1"/>
  <c r="AL20" i="1"/>
  <c r="AM20" i="1"/>
  <c r="AJ21" i="1"/>
  <c r="AK21" i="1"/>
  <c r="AL21" i="1"/>
  <c r="AM21" i="1"/>
  <c r="AJ3" i="1"/>
  <c r="AK3" i="1"/>
  <c r="AL3" i="1"/>
  <c r="AM3" i="1"/>
  <c r="AJ4" i="1"/>
  <c r="AK4" i="1"/>
  <c r="AL4" i="1"/>
  <c r="AM4" i="1"/>
  <c r="AJ5" i="1"/>
  <c r="AK5" i="1"/>
  <c r="AL5" i="1"/>
  <c r="AM5" i="1"/>
  <c r="AJ6" i="1"/>
  <c r="AK6" i="1"/>
  <c r="AL6" i="1"/>
  <c r="AM6" i="1"/>
  <c r="AJ7" i="1"/>
  <c r="AK7" i="1"/>
  <c r="AL7" i="1"/>
  <c r="AM7" i="1"/>
  <c r="AJ8" i="1"/>
  <c r="AK8" i="1"/>
  <c r="AL8" i="1"/>
  <c r="AM8" i="1"/>
  <c r="AJ9" i="1"/>
  <c r="AK9" i="1"/>
  <c r="AL9" i="1"/>
  <c r="AM9" i="1"/>
  <c r="AJ10" i="1"/>
  <c r="AK10" i="1"/>
  <c r="AL10" i="1"/>
  <c r="AM10" i="1"/>
  <c r="AJ11" i="1"/>
  <c r="AK11" i="1"/>
  <c r="AL11" i="1"/>
  <c r="AM11" i="1"/>
  <c r="AJ12" i="1"/>
  <c r="AK12" i="1"/>
  <c r="AL12" i="1"/>
  <c r="AM12" i="1"/>
  <c r="AJ13" i="1"/>
  <c r="AK13" i="1"/>
  <c r="AL13" i="1"/>
  <c r="AM13" i="1"/>
  <c r="AJ14" i="1"/>
  <c r="AK14" i="1"/>
  <c r="AL14" i="1"/>
  <c r="AM14" i="1"/>
  <c r="AM2" i="1"/>
  <c r="AL2" i="1"/>
  <c r="AK2" i="1"/>
  <c r="AJ2" i="1"/>
  <c r="AB123" i="1"/>
  <c r="T410" i="1"/>
  <c r="V410" i="1"/>
  <c r="U160" i="1"/>
  <c r="U214" i="1"/>
  <c r="T208" i="1"/>
  <c r="V208" i="1"/>
  <c r="U297" i="1"/>
  <c r="U296" i="1"/>
  <c r="U246" i="1" l="1"/>
  <c r="AF247" i="1"/>
  <c r="AF245" i="1"/>
  <c r="AF244" i="1"/>
  <c r="U244" i="1"/>
  <c r="AF243" i="1"/>
  <c r="U243" i="1"/>
  <c r="U123" i="1"/>
  <c r="U275" i="1"/>
  <c r="AD275" i="1" s="1"/>
  <c r="U92" i="1"/>
  <c r="U91" i="1"/>
  <c r="U89" i="1"/>
  <c r="U88" i="1"/>
  <c r="U57" i="1"/>
  <c r="U191" i="1"/>
  <c r="T191" i="1" s="1"/>
  <c r="U190" i="1"/>
  <c r="V190" i="1" s="1"/>
  <c r="V191" i="1" l="1"/>
  <c r="T190" i="1"/>
</calcChain>
</file>

<file path=xl/sharedStrings.xml><?xml version="1.0" encoding="utf-8"?>
<sst xmlns="http://schemas.openxmlformats.org/spreadsheetml/2006/main" count="9539" uniqueCount="1635">
  <si>
    <t>Tephra deposit ID</t>
  </si>
  <si>
    <t>Site</t>
  </si>
  <si>
    <t>Country</t>
  </si>
  <si>
    <t>Region</t>
  </si>
  <si>
    <t>Latitude</t>
  </si>
  <si>
    <t>Longitude</t>
  </si>
  <si>
    <t>Altitude</t>
  </si>
  <si>
    <t>Study</t>
  </si>
  <si>
    <t>Source volcano</t>
  </si>
  <si>
    <t>Source eruption</t>
  </si>
  <si>
    <t>N. consistent EPMA data</t>
  </si>
  <si>
    <t>Concentration</t>
  </si>
  <si>
    <t>Dating information</t>
  </si>
  <si>
    <t>References</t>
  </si>
  <si>
    <t>Unknown</t>
  </si>
  <si>
    <t>Campi Flegrei</t>
  </si>
  <si>
    <t>Somma-Vesuvius</t>
  </si>
  <si>
    <t>Austria</t>
  </si>
  <si>
    <t>Carinthia</t>
  </si>
  <si>
    <t>Schmidt et al. (2002)</t>
  </si>
  <si>
    <t>Neapolitan Yellow Tuff</t>
  </si>
  <si>
    <t>Malo Jezero MJ1</t>
  </si>
  <si>
    <t>Croatia</t>
  </si>
  <si>
    <t>Mljet</t>
  </si>
  <si>
    <t>Vela Spila</t>
  </si>
  <si>
    <t>Korcula</t>
  </si>
  <si>
    <t>QUEST483/106</t>
  </si>
  <si>
    <t>Veliko Jezero VJ1</t>
  </si>
  <si>
    <t>Jahns &amp; van den Bogaard (1998)</t>
  </si>
  <si>
    <t>Greece</t>
  </si>
  <si>
    <t>Philippi</t>
  </si>
  <si>
    <t>Anatoliki Makedonia</t>
  </si>
  <si>
    <t>Italy</t>
  </si>
  <si>
    <t>Campania</t>
  </si>
  <si>
    <t>Fondi di Baia</t>
  </si>
  <si>
    <t>Vulcano</t>
  </si>
  <si>
    <t>PALB94-1E</t>
  </si>
  <si>
    <t>Lago Albano</t>
  </si>
  <si>
    <t>Avellino</t>
  </si>
  <si>
    <t>Lazio</t>
  </si>
  <si>
    <t>Ramrath et al. (1999)</t>
  </si>
  <si>
    <t>Visible</t>
  </si>
  <si>
    <t>Etna</t>
  </si>
  <si>
    <t>Lago di Nemi</t>
  </si>
  <si>
    <t>Lago di Pergusa</t>
  </si>
  <si>
    <t>Sicily</t>
  </si>
  <si>
    <t>Lago di Vico</t>
  </si>
  <si>
    <t>Lago Grande di Monticchio</t>
  </si>
  <si>
    <t>Basilicata</t>
  </si>
  <si>
    <t>Lago Piccolo di Avigliana</t>
  </si>
  <si>
    <t>Piemonte</t>
  </si>
  <si>
    <t>Tuscany</t>
  </si>
  <si>
    <t>Trentino</t>
  </si>
  <si>
    <t>Lipari</t>
  </si>
  <si>
    <t>Prato Spilla C</t>
  </si>
  <si>
    <t>Emilia Romagna</t>
  </si>
  <si>
    <t>San Gregorio Magno</t>
  </si>
  <si>
    <t>HF_T426</t>
  </si>
  <si>
    <t>Haua Fteah</t>
  </si>
  <si>
    <t>Libya</t>
  </si>
  <si>
    <t>Cyrenaica</t>
  </si>
  <si>
    <t>Douka et al. (2014)</t>
  </si>
  <si>
    <t>Lake Bled</t>
  </si>
  <si>
    <t>Slovenia</t>
  </si>
  <si>
    <t>Bled</t>
  </si>
  <si>
    <t>Gölcük cores</t>
  </si>
  <si>
    <t>Izmir</t>
  </si>
  <si>
    <t>Golhisar Golu</t>
  </si>
  <si>
    <t>Burdur</t>
  </si>
  <si>
    <t>AMC99-07</t>
  </si>
  <si>
    <t>[marine]</t>
  </si>
  <si>
    <t>Adriatic Sea</t>
  </si>
  <si>
    <t>BAN-84 01 GC</t>
  </si>
  <si>
    <t>Mediterranean Sea</t>
  </si>
  <si>
    <t>BAN-84 08 GC</t>
  </si>
  <si>
    <t>BAN-84 10 PC</t>
  </si>
  <si>
    <t>Black Sea GGC 24</t>
  </si>
  <si>
    <t>Black Sea</t>
  </si>
  <si>
    <t>Black Sea GGC 59</t>
  </si>
  <si>
    <t>Black Sea GGC 71</t>
  </si>
  <si>
    <t>Black Sea GGC 79</t>
  </si>
  <si>
    <t>C106</t>
  </si>
  <si>
    <t>C45</t>
  </si>
  <si>
    <t>CM92-41</t>
  </si>
  <si>
    <t>CM92-42</t>
  </si>
  <si>
    <t>CM92-43</t>
  </si>
  <si>
    <t>COS01-16</t>
  </si>
  <si>
    <t>CSS00-07</t>
  </si>
  <si>
    <t>CSS00-12</t>
  </si>
  <si>
    <t>Tyrrhenian Sea</t>
  </si>
  <si>
    <t>GeoB 7622-2</t>
  </si>
  <si>
    <t>GeoB 7624-1</t>
  </si>
  <si>
    <t>GeoB 7625-2</t>
  </si>
  <si>
    <t>GeoTu SL112</t>
  </si>
  <si>
    <t>IN68-21</t>
  </si>
  <si>
    <t>IN88-22</t>
  </si>
  <si>
    <t>KET 80-03</t>
  </si>
  <si>
    <t>KET 80-04</t>
  </si>
  <si>
    <t>KET 80-11</t>
  </si>
  <si>
    <t>KET 80-22</t>
  </si>
  <si>
    <t>KET 82-18</t>
  </si>
  <si>
    <t>Ionian Sea</t>
  </si>
  <si>
    <t>MAR02-102</t>
  </si>
  <si>
    <t>Sea of Marmara</t>
  </si>
  <si>
    <t>MAR02-113</t>
  </si>
  <si>
    <t>Aegean Sea</t>
  </si>
  <si>
    <t>MAR02-21</t>
  </si>
  <si>
    <t>MAR02-89</t>
  </si>
  <si>
    <t>MAR03-2</t>
  </si>
  <si>
    <t>MAR03-25</t>
  </si>
  <si>
    <t>MAR03-27</t>
  </si>
  <si>
    <t>MAR03-28</t>
  </si>
  <si>
    <t>MAR03-3</t>
  </si>
  <si>
    <t>MAR03-49</t>
  </si>
  <si>
    <t>MD04-2760</t>
  </si>
  <si>
    <t>MD90-917</t>
  </si>
  <si>
    <t>PAL94-08</t>
  </si>
  <si>
    <t>PAL94-09</t>
  </si>
  <si>
    <t>PAL94-66</t>
  </si>
  <si>
    <t>PAL94-77</t>
  </si>
  <si>
    <t>PRAD 1-2</t>
  </si>
  <si>
    <t>RC09-175</t>
  </si>
  <si>
    <t>RC09-185</t>
  </si>
  <si>
    <t>RF93-77</t>
  </si>
  <si>
    <t>RF95-11</t>
  </si>
  <si>
    <t>RF95-14</t>
  </si>
  <si>
    <t>SA03-11</t>
  </si>
  <si>
    <t>Sea of Marmara core 20KLG</t>
  </si>
  <si>
    <t>Sea of Marmara core 21KL</t>
  </si>
  <si>
    <t>Sea of Marmara core 40KL</t>
  </si>
  <si>
    <t>TIR2000-7</t>
  </si>
  <si>
    <t>Marsili Basin; Tyrrhenian Sea</t>
  </si>
  <si>
    <t>Albert et al. (2012)</t>
  </si>
  <si>
    <t>7</t>
  </si>
  <si>
    <t>TIR2000-93</t>
  </si>
  <si>
    <t>TR172-22</t>
  </si>
  <si>
    <t>VM10-50</t>
  </si>
  <si>
    <t>VM10-52</t>
  </si>
  <si>
    <t>VM10-57</t>
  </si>
  <si>
    <t>VM10-58</t>
  </si>
  <si>
    <t>VM10-69</t>
  </si>
  <si>
    <t>YD97-09</t>
  </si>
  <si>
    <t>Lake Lia</t>
  </si>
  <si>
    <t>Romania</t>
  </si>
  <si>
    <t>Carpathian Mountains</t>
  </si>
  <si>
    <t>Kearney et al. (2024)</t>
  </si>
  <si>
    <t>Askja, Lipari</t>
  </si>
  <si>
    <t>LIA_603</t>
  </si>
  <si>
    <t>9(1)</t>
  </si>
  <si>
    <t>LIA_612.5</t>
  </si>
  <si>
    <t>Ischia</t>
  </si>
  <si>
    <t>There are near identical peak shard concentrations at adjacent 1 cm resolution sample depths with largely homogeneous geochemistry; the position of the isochron is taken as the mid-point of the depths</t>
  </si>
  <si>
    <t>LIA_637</t>
  </si>
  <si>
    <t>Lipari, Anatolian</t>
  </si>
  <si>
    <t>1</t>
  </si>
  <si>
    <t>4</t>
  </si>
  <si>
    <t>12</t>
  </si>
  <si>
    <t>9</t>
  </si>
  <si>
    <t>Lake Brazi</t>
  </si>
  <si>
    <t>TDB_540.5</t>
  </si>
  <si>
    <t>Askja</t>
  </si>
  <si>
    <t xml:space="preserve">Askja-S </t>
  </si>
  <si>
    <t>3</t>
  </si>
  <si>
    <t>TDB_564</t>
  </si>
  <si>
    <t>20(1)</t>
  </si>
  <si>
    <t>4(1)</t>
  </si>
  <si>
    <t>8</t>
  </si>
  <si>
    <t>SLV_T5</t>
  </si>
  <si>
    <t>Slivata 2</t>
  </si>
  <si>
    <t>Bulgaria</t>
  </si>
  <si>
    <t>Bulgarian Lower Danube</t>
  </si>
  <si>
    <t>Fenn et al. (2021)</t>
  </si>
  <si>
    <t>ICDP Dead Sea core 5017-1</t>
  </si>
  <si>
    <t>Israel/Jordan (Dead Sea basin)</t>
  </si>
  <si>
    <t>Neugebauer et al. (2021)</t>
  </si>
  <si>
    <t>5017-C2-33 / TH(92.55)</t>
  </si>
  <si>
    <t>KL49</t>
  </si>
  <si>
    <t>KL49-59</t>
  </si>
  <si>
    <t>KL49-202</t>
  </si>
  <si>
    <t>LC21</t>
  </si>
  <si>
    <t>Margari et al. (2007)</t>
  </si>
  <si>
    <t>Seymour et al. (2004)</t>
  </si>
  <si>
    <t>V2: 1.5m</t>
  </si>
  <si>
    <t>Lane et al. (2012)</t>
  </si>
  <si>
    <t>Crypto</t>
  </si>
  <si>
    <t>Vedde Ash</t>
  </si>
  <si>
    <t>Katla</t>
  </si>
  <si>
    <t>Lago di Lavarone</t>
  </si>
  <si>
    <t>Authors list depth as 503 metres but I am assuming this is an error. They also note that there was a small amount of sediment to work with and only 2 shards were analysed</t>
  </si>
  <si>
    <t>OxT2762</t>
  </si>
  <si>
    <t>Finsinger et al. (2008)</t>
  </si>
  <si>
    <t>Laacher See</t>
  </si>
  <si>
    <t>QUEST611/1</t>
  </si>
  <si>
    <t>QUEST598/156</t>
  </si>
  <si>
    <t>QUEST598/157</t>
  </si>
  <si>
    <t>QUEST598/23</t>
  </si>
  <si>
    <t>QUEST598/18</t>
  </si>
  <si>
    <t>QUEST598/150</t>
  </si>
  <si>
    <t>Magny et al. (2006)</t>
  </si>
  <si>
    <t>Agnano Monte Spina</t>
  </si>
  <si>
    <t>Lake Accesa (AC3/4 core)</t>
  </si>
  <si>
    <t>OxT1985</t>
  </si>
  <si>
    <t>QUEST607/23</t>
  </si>
  <si>
    <t>EPMA data not given</t>
  </si>
  <si>
    <t>S20</t>
  </si>
  <si>
    <t>S21</t>
  </si>
  <si>
    <t>Visible (80 cm thick)</t>
  </si>
  <si>
    <t>Visible (20 cm thick)</t>
  </si>
  <si>
    <t>Contains pumice fragments not exceeding 0.5 mm diameter and lava lithic fragments; not listed as containing glass shards</t>
  </si>
  <si>
    <t>Sullivan (1988)</t>
  </si>
  <si>
    <t>Lowe et al. (2007)</t>
  </si>
  <si>
    <t>Parisi et al. (1987); Vezzoli (1991)</t>
  </si>
  <si>
    <t>Guichard et al. (1993)</t>
  </si>
  <si>
    <t xml:space="preserve">Calanchi et al. (1996); Calanchi et al. (1998); Trincardi et al. (1996) </t>
  </si>
  <si>
    <t>Hamann et al. (2010)</t>
  </si>
  <si>
    <t>Calanchi et al. (1998)</t>
  </si>
  <si>
    <t>Paterne et al. (1986); Paterne et al. (1988)</t>
  </si>
  <si>
    <t>Paterne et al. (1988)</t>
  </si>
  <si>
    <t>Aksu et al. (2008)</t>
  </si>
  <si>
    <t xml:space="preserve">Kwiecien et al. (2008) </t>
  </si>
  <si>
    <t>Lowe et al. (2007); Trincardi et al. (1996)</t>
  </si>
  <si>
    <t>Calanchi et al. (1996); Calanchi et al. (1998); Trincardi et al. (1996); Lowe et al. (2007)</t>
  </si>
  <si>
    <t>Bourne (2006); Bourne et al. (2010)</t>
  </si>
  <si>
    <t>Keller et al. (1978)</t>
  </si>
  <si>
    <t>Calanchi et al. (1996); Calanchi et al. (1998); Trincardi et al. (1996)</t>
  </si>
  <si>
    <t>Abbott (2005); Piva et al. (2008); Satow (2008)</t>
  </si>
  <si>
    <t>Wulf et al. (2002)</t>
  </si>
  <si>
    <t>Cornell et al. (1983); Guichard et al. (1993); Thunell et al. (1979)</t>
  </si>
  <si>
    <t>OT0702-03</t>
  </si>
  <si>
    <t>Mercato</t>
  </si>
  <si>
    <t>OT0702-02</t>
  </si>
  <si>
    <t>OT0702-01</t>
  </si>
  <si>
    <t>Pomici Principali</t>
  </si>
  <si>
    <t>Bld_T120</t>
  </si>
  <si>
    <t>Bld_T122</t>
  </si>
  <si>
    <t>Bld_T240</t>
  </si>
  <si>
    <t>81 shards per g</t>
  </si>
  <si>
    <t>95 shards per g</t>
  </si>
  <si>
    <t>Lane et al. (2011)</t>
  </si>
  <si>
    <t>Visible (12 cm thick)</t>
  </si>
  <si>
    <t>QUEST722/9</t>
  </si>
  <si>
    <t>Santorini</t>
  </si>
  <si>
    <t>QUEST703/9</t>
  </si>
  <si>
    <t>Visible (4 cm thick)</t>
  </si>
  <si>
    <t>There may be more tephra deposits in Greece not reported in RESET according to this paper</t>
  </si>
  <si>
    <t>CSR766/86</t>
  </si>
  <si>
    <t>Cape Riva (Y2)</t>
  </si>
  <si>
    <t>N6</t>
  </si>
  <si>
    <t>N11</t>
  </si>
  <si>
    <t>N9</t>
  </si>
  <si>
    <t>N7</t>
  </si>
  <si>
    <t>A9</t>
  </si>
  <si>
    <t>N3</t>
  </si>
  <si>
    <t>A4</t>
  </si>
  <si>
    <t>A1</t>
  </si>
  <si>
    <t>G4</t>
  </si>
  <si>
    <t>Sample G9 from the same core also represents the Cape Riva eruption, but is positioned at 73 cm in the core. Likely remobilised?</t>
  </si>
  <si>
    <t>N12</t>
  </si>
  <si>
    <t>TM-13</t>
  </si>
  <si>
    <t>TM-12-2b</t>
  </si>
  <si>
    <t>TM-12-2a</t>
  </si>
  <si>
    <t>TM-12-1</t>
  </si>
  <si>
    <t>TM-12</t>
  </si>
  <si>
    <t>TM-11</t>
  </si>
  <si>
    <t>TM-10-1</t>
  </si>
  <si>
    <t>TM-10a</t>
  </si>
  <si>
    <t>TM-9</t>
  </si>
  <si>
    <t>TM-8</t>
  </si>
  <si>
    <t>TM-7-5</t>
  </si>
  <si>
    <t>TM-7-3</t>
  </si>
  <si>
    <t>TM-7-2</t>
  </si>
  <si>
    <t>TM-7b</t>
  </si>
  <si>
    <t>TM-7a</t>
  </si>
  <si>
    <t>TM-6-4c</t>
  </si>
  <si>
    <t>TM-6-4b</t>
  </si>
  <si>
    <t>TM-6-4a</t>
  </si>
  <si>
    <t>TM-6-1a</t>
  </si>
  <si>
    <t>TM-6b</t>
  </si>
  <si>
    <t>TM-6a</t>
  </si>
  <si>
    <t>TM-5-2</t>
  </si>
  <si>
    <t>TM-5d</t>
  </si>
  <si>
    <t>TM-5c</t>
  </si>
  <si>
    <t>TM-5b</t>
  </si>
  <si>
    <t>TM-5a</t>
  </si>
  <si>
    <t>TM-4</t>
  </si>
  <si>
    <t>TM-3c</t>
  </si>
  <si>
    <t>TM-3b</t>
  </si>
  <si>
    <t>TM-3a</t>
  </si>
  <si>
    <t>TM-2-2</t>
  </si>
  <si>
    <t>TM-2-1</t>
  </si>
  <si>
    <t>TM-2b</t>
  </si>
  <si>
    <t>TM-2a</t>
  </si>
  <si>
    <t>TM-1-2</t>
  </si>
  <si>
    <t>TM-1-1</t>
  </si>
  <si>
    <t>TM-1</t>
  </si>
  <si>
    <t>Pomici di Base</t>
  </si>
  <si>
    <t>AP2</t>
  </si>
  <si>
    <t>AP3</t>
  </si>
  <si>
    <t>AP4</t>
  </si>
  <si>
    <t>AP5</t>
  </si>
  <si>
    <t>5</t>
  </si>
  <si>
    <t>10</t>
  </si>
  <si>
    <t>15</t>
  </si>
  <si>
    <t>17</t>
  </si>
  <si>
    <t>23</t>
  </si>
  <si>
    <t>13</t>
  </si>
  <si>
    <t>19</t>
  </si>
  <si>
    <t>16</t>
  </si>
  <si>
    <t>TM-14</t>
  </si>
  <si>
    <t>Solchiaro</t>
  </si>
  <si>
    <t>2</t>
  </si>
  <si>
    <t>6</t>
  </si>
  <si>
    <t>Wulf et al. (2008)</t>
  </si>
  <si>
    <t>Astroni 1–3</t>
  </si>
  <si>
    <t>TM-5cd</t>
  </si>
  <si>
    <t>Averno 1 (?)</t>
  </si>
  <si>
    <t>TM-5-1</t>
  </si>
  <si>
    <t>Puzzillo 1–3 (?)</t>
  </si>
  <si>
    <t>Maisto (?)</t>
  </si>
  <si>
    <t>11</t>
  </si>
  <si>
    <t>TM-6-1b</t>
  </si>
  <si>
    <t>TM-6-2</t>
  </si>
  <si>
    <t>18</t>
  </si>
  <si>
    <t>TM-6-3</t>
  </si>
  <si>
    <t>26</t>
  </si>
  <si>
    <t>Soccavo 5</t>
  </si>
  <si>
    <t>Soccavo 4 (?)</t>
  </si>
  <si>
    <t>TM-7-1</t>
  </si>
  <si>
    <t>Gaiola (?)</t>
  </si>
  <si>
    <t>TM-7-4</t>
  </si>
  <si>
    <t>Ante-Biancavilla (?)</t>
  </si>
  <si>
    <t>IIIme (?)</t>
  </si>
  <si>
    <t>Rolandi et al. (1998)</t>
  </si>
  <si>
    <t>Siani et al. (2004)</t>
  </si>
  <si>
    <t>Procida-Vivara</t>
  </si>
  <si>
    <t>Solchario</t>
  </si>
  <si>
    <t>QUEST613/105</t>
  </si>
  <si>
    <t>QUEST613/89</t>
  </si>
  <si>
    <t>QUEST597/23</t>
  </si>
  <si>
    <t>QUEST597/106</t>
  </si>
  <si>
    <t>N/A</t>
  </si>
  <si>
    <t>QUEST593/23</t>
  </si>
  <si>
    <t>QUEST595/89</t>
  </si>
  <si>
    <t>QUEST616/100</t>
  </si>
  <si>
    <t>QUEST617/100</t>
  </si>
  <si>
    <t>QUEST594/23</t>
  </si>
  <si>
    <t>QUEST594/96</t>
  </si>
  <si>
    <t>QUEST596/89</t>
  </si>
  <si>
    <t>QUEST596/100</t>
  </si>
  <si>
    <t>01/GC/63-68cm</t>
  </si>
  <si>
    <t>TM11</t>
  </si>
  <si>
    <t>08/GC/44-46cm</t>
  </si>
  <si>
    <t>Originally identified as the Biancavilla Ignimbrite but subsequently reassessed; TM11 is proximally undefined on Mount Etna but correlates with the layer at Lago Grande di Monticchio</t>
  </si>
  <si>
    <t>10/PC/16-17cm</t>
  </si>
  <si>
    <t>QUEST894/9</t>
  </si>
  <si>
    <t>QUEST895/9</t>
  </si>
  <si>
    <t>QUEST893/9</t>
  </si>
  <si>
    <t>QUEST704/9</t>
  </si>
  <si>
    <t>QUEST589/89</t>
  </si>
  <si>
    <t>QUEST589/23</t>
  </si>
  <si>
    <t>QUEST589/86</t>
  </si>
  <si>
    <t>QUEST590/23</t>
  </si>
  <si>
    <t>QUEST588/23</t>
  </si>
  <si>
    <t>QUEST588/86</t>
  </si>
  <si>
    <t>kwiecien2008erb/GeoB7622-2/400cm</t>
  </si>
  <si>
    <t>kwiecien2008erb/GeoB7624-1/451cm</t>
  </si>
  <si>
    <t>kwiecien2008erb/GeoB7625-2/467cm</t>
  </si>
  <si>
    <t>hamann2010fed/S1/260cm</t>
  </si>
  <si>
    <t>Erciyes Dagi</t>
  </si>
  <si>
    <t>Eruption ID is uncertain; review Hamann et al. (2010) for discussion</t>
  </si>
  <si>
    <t>S1 (?)</t>
  </si>
  <si>
    <t>CSR767/86</t>
  </si>
  <si>
    <t>CSR767/104</t>
  </si>
  <si>
    <t>CSR767/102</t>
  </si>
  <si>
    <t>AP2 (?)</t>
  </si>
  <si>
    <t>AP4 (?)</t>
  </si>
  <si>
    <t>CSR768/86</t>
  </si>
  <si>
    <t>CSR769/86</t>
  </si>
  <si>
    <t>CSR769/98</t>
  </si>
  <si>
    <t>QUEST591/23</t>
  </si>
  <si>
    <t>QUEST591/86</t>
  </si>
  <si>
    <t>QUEST592/86</t>
  </si>
  <si>
    <t>Tephra not visible macroscopically as they do not occur in discrete layers; tephra was identified using microcopic observation and by magnetic susceptibility. Calanchi et la. (1998) show 4-5 tephras in this core but these are not reported in RESET?</t>
  </si>
  <si>
    <t>QUEST705/8</t>
  </si>
  <si>
    <t>QUEST706/8</t>
  </si>
  <si>
    <t>QUEST707/8</t>
  </si>
  <si>
    <t>QUEST889/9</t>
  </si>
  <si>
    <t>Minoan (Z2)</t>
  </si>
  <si>
    <t>QUEST890/9</t>
  </si>
  <si>
    <t>QUEST891/9</t>
  </si>
  <si>
    <t>QUEST882/8</t>
  </si>
  <si>
    <t>QUEST882/9</t>
  </si>
  <si>
    <t>QUEST887/89</t>
  </si>
  <si>
    <t>KL17</t>
  </si>
  <si>
    <t>OxT6387</t>
  </si>
  <si>
    <t>Red Sea</t>
  </si>
  <si>
    <t>Unpublished</t>
  </si>
  <si>
    <t>314 shards / g</t>
  </si>
  <si>
    <t>OxT6394</t>
  </si>
  <si>
    <t>4975 shards / g</t>
  </si>
  <si>
    <t>OxT6420</t>
  </si>
  <si>
    <t>24833 shards / g</t>
  </si>
  <si>
    <t>Mljet Island</t>
  </si>
  <si>
    <t>Marine lake (connected to the sea via a narrow channel)</t>
  </si>
  <si>
    <t>M1-A 153</t>
  </si>
  <si>
    <t>M1-A 169</t>
  </si>
  <si>
    <t>M1-A 171</t>
  </si>
  <si>
    <t>M1-A 250</t>
  </si>
  <si>
    <t>M1-A 414</t>
  </si>
  <si>
    <t>Razum et al. (2020)</t>
  </si>
  <si>
    <t xml:space="preserve">Mercato </t>
  </si>
  <si>
    <t xml:space="preserve">Neapolitan Yellow Tuff </t>
  </si>
  <si>
    <t>Roeser et al. (2012)</t>
  </si>
  <si>
    <t>Albania/ Montenegro border</t>
  </si>
  <si>
    <t xml:space="preserve">Lake Shkodra </t>
  </si>
  <si>
    <t>SK13</t>
  </si>
  <si>
    <t>SK19</t>
  </si>
  <si>
    <t>SK13 716-726cm</t>
  </si>
  <si>
    <t>SK13 571cm</t>
  </si>
  <si>
    <t>SK13 514cm</t>
  </si>
  <si>
    <t>SK13 295-300cm</t>
  </si>
  <si>
    <t>SK19 460cm</t>
  </si>
  <si>
    <t>SK19 385-400cm</t>
  </si>
  <si>
    <t>SK19 155-160cm</t>
  </si>
  <si>
    <t>FL</t>
  </si>
  <si>
    <t>11(3)</t>
  </si>
  <si>
    <t>Astroni (?)</t>
  </si>
  <si>
    <t>QUEST 482/106</t>
  </si>
  <si>
    <t>Heterogenous composition; three different glass populations identified</t>
  </si>
  <si>
    <t>Radic et al. (2008)</t>
  </si>
  <si>
    <t>QUEST968/23</t>
  </si>
  <si>
    <t>QUEST481/23</t>
  </si>
  <si>
    <t>Sediment core. At least three geochemically distinctive magmas were involved in the NYT eruption; the Längsee tephra shows the range and heterogeneity of glass compositions characteristic of the NYT</t>
  </si>
  <si>
    <t>QUEST518/8</t>
  </si>
  <si>
    <t>Megali Limni</t>
  </si>
  <si>
    <t>ML01</t>
  </si>
  <si>
    <t>QUEST612/89</t>
  </si>
  <si>
    <t>QUEST612/105</t>
  </si>
  <si>
    <t xml:space="preserve">Unknown </t>
  </si>
  <si>
    <t>Monte Pilato</t>
  </si>
  <si>
    <t>Soccavo 1</t>
  </si>
  <si>
    <t>N/A?</t>
  </si>
  <si>
    <t>Palinuro Seamount</t>
  </si>
  <si>
    <t>Capo Palinuro</t>
  </si>
  <si>
    <t>Gabellotto-Fiumebianco</t>
  </si>
  <si>
    <t>Lagno Amendolare</t>
  </si>
  <si>
    <t>530/ QUEST602/14</t>
  </si>
  <si>
    <t xml:space="preserve">Astroni 3 </t>
  </si>
  <si>
    <t>140-160/ QUEST602/85</t>
  </si>
  <si>
    <t>167-175/ QUEST602/86</t>
  </si>
  <si>
    <t>Heterogenous composition; two distinct populations</t>
  </si>
  <si>
    <t>250/ QUEST602/114</t>
  </si>
  <si>
    <t xml:space="preserve">25(7) </t>
  </si>
  <si>
    <t>275/ QUEST602/94</t>
  </si>
  <si>
    <t>28(11)</t>
  </si>
  <si>
    <t>305-310/ QUEST602/18</t>
  </si>
  <si>
    <t>395 QUEST602/23</t>
  </si>
  <si>
    <t>405/423/ QUEST602/84</t>
  </si>
  <si>
    <t>Two layers with the same ID</t>
  </si>
  <si>
    <t>Multiple layers with the same ID</t>
  </si>
  <si>
    <t>435/ QUEST602/87</t>
  </si>
  <si>
    <t>490/ QUEST602/89</t>
  </si>
  <si>
    <t>595/ QUEST602/13</t>
  </si>
  <si>
    <t>PNEM94-1B</t>
  </si>
  <si>
    <t>The Avellino tephra was also identified at another core PALB94-3A taken from Lago Albano, not recorded in RESET</t>
  </si>
  <si>
    <t>Calanchi et al. (1996); Guilizzoni et al. (2002)</t>
  </si>
  <si>
    <t>QUEST614/105</t>
  </si>
  <si>
    <t>Lago di Mezzano</t>
  </si>
  <si>
    <t>LMZ-B</t>
  </si>
  <si>
    <t>QUEST603/89</t>
  </si>
  <si>
    <t>QUEST603/23</t>
  </si>
  <si>
    <t>QUEST603/86</t>
  </si>
  <si>
    <t>QUEST604/89</t>
  </si>
  <si>
    <t>QUEST604/23</t>
  </si>
  <si>
    <t>QUEST604/18</t>
  </si>
  <si>
    <t>QUEST604/86</t>
  </si>
  <si>
    <t>QUEST605/23</t>
  </si>
  <si>
    <t>QUEST605/86</t>
  </si>
  <si>
    <t>CSR605/18</t>
  </si>
  <si>
    <t>CSR771/86</t>
  </si>
  <si>
    <t>kwiecien2008erb/MD04-2760/2461cm</t>
  </si>
  <si>
    <t>PRAD875</t>
  </si>
  <si>
    <t>PRAD784</t>
  </si>
  <si>
    <t>PRAD650</t>
  </si>
  <si>
    <t>PRAD218</t>
  </si>
  <si>
    <t>PRAD203</t>
  </si>
  <si>
    <t>PRAD120</t>
  </si>
  <si>
    <t>PRAD055</t>
  </si>
  <si>
    <t>Pomici di Base (?)</t>
  </si>
  <si>
    <t>Lagno Amendolare (?)</t>
  </si>
  <si>
    <t>1095 shards / g</t>
  </si>
  <si>
    <t>200 shards / g</t>
  </si>
  <si>
    <t>746 shards / g</t>
  </si>
  <si>
    <t>9999  shards / g</t>
  </si>
  <si>
    <t>36 shards / g</t>
  </si>
  <si>
    <t>359 shards / g</t>
  </si>
  <si>
    <t>178 shards / g</t>
  </si>
  <si>
    <t>I-08</t>
  </si>
  <si>
    <t>Lake Ioannina</t>
  </si>
  <si>
    <t>McGuire et al. (2022)</t>
  </si>
  <si>
    <t>I08T_16.07</t>
  </si>
  <si>
    <t>I08T_15.23</t>
  </si>
  <si>
    <t>I08T_14.39</t>
  </si>
  <si>
    <t>Caron et al. (2012)</t>
  </si>
  <si>
    <t>~275 shards / g</t>
  </si>
  <si>
    <t>~100 shards / g</t>
  </si>
  <si>
    <t>~ 500 shards / g</t>
  </si>
  <si>
    <t>CSR770/18</t>
  </si>
  <si>
    <t>QUEST892/8</t>
  </si>
  <si>
    <t>QUEST877/89</t>
  </si>
  <si>
    <t>QUEST608/23</t>
  </si>
  <si>
    <t>QUEST608/86</t>
  </si>
  <si>
    <t>CSR618/106</t>
  </si>
  <si>
    <t>CSR618/86</t>
  </si>
  <si>
    <t>CSR618/104</t>
  </si>
  <si>
    <t>CSR619/86</t>
  </si>
  <si>
    <t>CSR619/103</t>
  </si>
  <si>
    <t>CSR619/102</t>
  </si>
  <si>
    <t>QUEST609/13</t>
  </si>
  <si>
    <t>QUEST609/14</t>
  </si>
  <si>
    <t>QUEST609/23</t>
  </si>
  <si>
    <t>QUEST609/18</t>
  </si>
  <si>
    <t>QUEST609/106</t>
  </si>
  <si>
    <t>QUEST609/86</t>
  </si>
  <si>
    <t>QUEST609/85</t>
  </si>
  <si>
    <t>Astroni 1-6</t>
  </si>
  <si>
    <t>T12</t>
  </si>
  <si>
    <t>T41</t>
  </si>
  <si>
    <t>T153</t>
  </si>
  <si>
    <t>T162</t>
  </si>
  <si>
    <t>T171b</t>
  </si>
  <si>
    <t>T247b</t>
  </si>
  <si>
    <t>T247a</t>
  </si>
  <si>
    <t>T363</t>
  </si>
  <si>
    <t>T492</t>
  </si>
  <si>
    <t>T531</t>
  </si>
  <si>
    <t>T640</t>
  </si>
  <si>
    <t>T646</t>
  </si>
  <si>
    <t>T651</t>
  </si>
  <si>
    <t>T730</t>
  </si>
  <si>
    <t>T760</t>
  </si>
  <si>
    <t>T865</t>
  </si>
  <si>
    <t>T950</t>
  </si>
  <si>
    <t>Matthews et al. (2015)</t>
  </si>
  <si>
    <t>Visible layer from 85-153 cm displays three distinct colour changes; there are several peaks in tephra concentration throughout this zone, but geochemical analysis is consistent throughout so likely represents prolonged reworking</t>
  </si>
  <si>
    <t>Piano Ligurio</t>
  </si>
  <si>
    <t>Two distinct geochemical populations at the 247 cm layer</t>
  </si>
  <si>
    <t>Varve age</t>
  </si>
  <si>
    <t>Tufi Biancastri</t>
  </si>
  <si>
    <t>Tlo member of Tufi Biancastri deposits (?)</t>
  </si>
  <si>
    <t>Modelled age (Matthews et al., 2015)</t>
  </si>
  <si>
    <t>This is the same core as site 609?</t>
  </si>
  <si>
    <t>M25/4-12</t>
  </si>
  <si>
    <t>Albert et al. (2017)</t>
  </si>
  <si>
    <t>M25/4-12-28cm</t>
  </si>
  <si>
    <t>TIR2000-C01</t>
  </si>
  <si>
    <t>M72/5-25-GC1</t>
  </si>
  <si>
    <t xml:space="preserve">Acigöl </t>
  </si>
  <si>
    <t>Karagüllü or Perikartini (?)</t>
  </si>
  <si>
    <t>BSC_022</t>
  </si>
  <si>
    <t>BSC_079</t>
  </si>
  <si>
    <t>BSC_139</t>
  </si>
  <si>
    <t>BSC-154</t>
  </si>
  <si>
    <t>BSC-158</t>
  </si>
  <si>
    <t>BSC-179</t>
  </si>
  <si>
    <t>BSC-394</t>
  </si>
  <si>
    <t>BSC-411</t>
  </si>
  <si>
    <t>AC2</t>
  </si>
  <si>
    <t>Sulpizio et al. (2013)</t>
  </si>
  <si>
    <t>Acigöl Basin</t>
  </si>
  <si>
    <t>QUEST601/88</t>
  </si>
  <si>
    <t>QUEST923/9</t>
  </si>
  <si>
    <t>Dead Sea Basin</t>
  </si>
  <si>
    <t>Wulf et al. (2020)</t>
  </si>
  <si>
    <t>29.5 cm thick</t>
  </si>
  <si>
    <t>44 cm thick</t>
  </si>
  <si>
    <t>23 cm thick</t>
  </si>
  <si>
    <t>Grant et al. (2012)</t>
  </si>
  <si>
    <t>Satow et al. (2015)</t>
  </si>
  <si>
    <t>Satow et al. (2015); Wulf et al. (2020)</t>
  </si>
  <si>
    <t>Bruins et al. (2019)</t>
  </si>
  <si>
    <t>Pelekita Cave</t>
  </si>
  <si>
    <t>Crete</t>
  </si>
  <si>
    <t>Obtained coordinates from Google Earth</t>
  </si>
  <si>
    <t>MD01-2430</t>
  </si>
  <si>
    <t>Gemlik Gulf</t>
  </si>
  <si>
    <t>Marmara</t>
  </si>
  <si>
    <t>ML-01</t>
  </si>
  <si>
    <t>MNTKS-34</t>
  </si>
  <si>
    <t xml:space="preserve">3.01 m </t>
  </si>
  <si>
    <t xml:space="preserve">4.68 m  </t>
  </si>
  <si>
    <t>MT-0</t>
  </si>
  <si>
    <t>MT-1</t>
  </si>
  <si>
    <t>Sulpizio et al. (2010)</t>
  </si>
  <si>
    <t>&gt;500 shards / cm3</t>
  </si>
  <si>
    <t>Lake Iznik</t>
  </si>
  <si>
    <t>IZN09/LC2</t>
  </si>
  <si>
    <t>IZN05/LC1</t>
  </si>
  <si>
    <t>P3</t>
  </si>
  <si>
    <t>2011.218.22</t>
  </si>
  <si>
    <t>Ülgen et al. (2012)</t>
  </si>
  <si>
    <t>Çağatay et al. (2015)</t>
  </si>
  <si>
    <t xml:space="preserve"> Türkiye</t>
  </si>
  <si>
    <t>Reports identifying the Avellino tephra but does not provide EPMA data or sample name. Gastineau et al. (2021; 2023) present more tephra data from other Lake Iznik cores but I believe they all show the same eruption (?)</t>
  </si>
  <si>
    <t>TP-2005</t>
  </si>
  <si>
    <t>Tenaghi Philippon</t>
  </si>
  <si>
    <t>7.61 m</t>
  </si>
  <si>
    <t>Terrestrial core</t>
  </si>
  <si>
    <t>Co1215</t>
  </si>
  <si>
    <t>Lake Prespa</t>
  </si>
  <si>
    <t>Macedonia, Albania, Greece</t>
  </si>
  <si>
    <t>Damaschke et al. (2013)</t>
  </si>
  <si>
    <t>PT0915-1</t>
  </si>
  <si>
    <t>PT0915-2</t>
  </si>
  <si>
    <t>PT0915-3</t>
  </si>
  <si>
    <t>PT0915-4</t>
  </si>
  <si>
    <t>Cullen et al. (2014)</t>
  </si>
  <si>
    <t>JO-42</t>
  </si>
  <si>
    <t>Co1202</t>
  </si>
  <si>
    <t>Lake Ohrid</t>
  </si>
  <si>
    <t>JO2004-1</t>
  </si>
  <si>
    <t>Albania/ Macedonia border</t>
  </si>
  <si>
    <t>Wagner et al. (2008)</t>
  </si>
  <si>
    <t>Lz1120</t>
  </si>
  <si>
    <t>310 - 315 cm</t>
  </si>
  <si>
    <t>Caron et al. (2010); Lézine et al. (2010)</t>
  </si>
  <si>
    <t>Müller et al. (2011); Wulf et al. (2018)</t>
  </si>
  <si>
    <t>TP05-5075</t>
  </si>
  <si>
    <t>Wulf et al. (2018)</t>
  </si>
  <si>
    <t>Elemental composition is bimodal; 4 shards are alkaline trachyphonolitic, 1 is calc-alkaline rhyolitic</t>
  </si>
  <si>
    <t>OH-DP-0027</t>
  </si>
  <si>
    <t>Leicher et al. (2016)</t>
  </si>
  <si>
    <t>DEEP core</t>
  </si>
  <si>
    <t>OH-DP-0009</t>
  </si>
  <si>
    <t>OH-DP-0015</t>
  </si>
  <si>
    <t>OH-DP-0016.9</t>
  </si>
  <si>
    <t>OH-DP-0049</t>
  </si>
  <si>
    <t>OH-DP-0052</t>
  </si>
  <si>
    <t>Leicher et al. (2021)</t>
  </si>
  <si>
    <t>LN1</t>
  </si>
  <si>
    <t>LN2 (?)</t>
  </si>
  <si>
    <t>KC01B</t>
  </si>
  <si>
    <t>I-1</t>
  </si>
  <si>
    <t>Insinga et al. (2014)</t>
  </si>
  <si>
    <t>3642 water depth</t>
  </si>
  <si>
    <t>C14</t>
  </si>
  <si>
    <t>MSK-12 C1</t>
  </si>
  <si>
    <t>UM42BC</t>
  </si>
  <si>
    <t>SAGCAP1.1</t>
  </si>
  <si>
    <t>AP1/13a</t>
  </si>
  <si>
    <t>AP1/13b</t>
  </si>
  <si>
    <t>C14/89a</t>
  </si>
  <si>
    <t>C14/89b</t>
  </si>
  <si>
    <t>UM42/7</t>
  </si>
  <si>
    <t>C1/90</t>
  </si>
  <si>
    <t>C1/87</t>
  </si>
  <si>
    <t>C1/85a</t>
  </si>
  <si>
    <t>C1/85b</t>
  </si>
  <si>
    <t>C1/82</t>
  </si>
  <si>
    <t>C1/56</t>
  </si>
  <si>
    <t>Cretaio</t>
  </si>
  <si>
    <t>Zonneveld et al. (2024)</t>
  </si>
  <si>
    <t>Cryptotephra 1 (1601.5- to 1579-mm)</t>
  </si>
  <si>
    <t>Cryptotephra 2 (1329- to 1279-mm core depth)</t>
  </si>
  <si>
    <t>Cryptotephra 4 (1079- to 1059-mm core depth, 776 CE)</t>
  </si>
  <si>
    <t>Gulf of Taranto</t>
  </si>
  <si>
    <t>DP30PC</t>
  </si>
  <si>
    <t>Cryptotephra 3 (1259- to 1244-mm)</t>
  </si>
  <si>
    <t>512 CE</t>
  </si>
  <si>
    <t>POS-514-40-11</t>
  </si>
  <si>
    <t>Razum et al. (2024)</t>
  </si>
  <si>
    <t>POS 262</t>
  </si>
  <si>
    <t>POS 529</t>
  </si>
  <si>
    <t xml:space="preserve">Visible </t>
  </si>
  <si>
    <t>Referred to in Kutterolf et al. (2021)</t>
  </si>
  <si>
    <t>ODP Site 967</t>
  </si>
  <si>
    <t>ODP Site 968</t>
  </si>
  <si>
    <t>TR171-28</t>
  </si>
  <si>
    <t>TR172-1</t>
  </si>
  <si>
    <t>TR172-11</t>
  </si>
  <si>
    <t>TR172-18</t>
  </si>
  <si>
    <t>TR172-19</t>
  </si>
  <si>
    <t>TR172-2</t>
  </si>
  <si>
    <t>TR172-20</t>
  </si>
  <si>
    <t>TR172-21</t>
  </si>
  <si>
    <t>TR172-23</t>
  </si>
  <si>
    <t>TR172-24</t>
  </si>
  <si>
    <t>TR172-25</t>
  </si>
  <si>
    <t>TR172-26</t>
  </si>
  <si>
    <t>TR172-27</t>
  </si>
  <si>
    <t>TR172-3</t>
  </si>
  <si>
    <t>TR172-9</t>
  </si>
  <si>
    <t>DEEP/ ICDP5045-1</t>
  </si>
  <si>
    <t>TF-1</t>
  </si>
  <si>
    <t>TF-2</t>
  </si>
  <si>
    <t>TF-3b</t>
  </si>
  <si>
    <t>Fucino Basin</t>
  </si>
  <si>
    <t>F1-F3</t>
  </si>
  <si>
    <t>Visible (?)</t>
  </si>
  <si>
    <t>Epoch 2 eruptions (Sartania, Pigna San Nicola, San Martino)</t>
  </si>
  <si>
    <t>Mannella et al. (2019); Giaccio et al. (2017)</t>
  </si>
  <si>
    <t>TF-3a</t>
  </si>
  <si>
    <t>Acireale fall D1b and D2b (?)</t>
  </si>
  <si>
    <t>Lago Trifoglietti</t>
  </si>
  <si>
    <t>de Beaulieu et al. (2017)</t>
  </si>
  <si>
    <t xml:space="preserve">Trifo master core </t>
  </si>
  <si>
    <t>Trifoglietti-1</t>
  </si>
  <si>
    <t>Trifoglietti-2</t>
  </si>
  <si>
    <t>Trifoglietti-4</t>
  </si>
  <si>
    <t>Soccavo 4</t>
  </si>
  <si>
    <t>KC01</t>
  </si>
  <si>
    <t>KC14</t>
  </si>
  <si>
    <t>KC14_140</t>
  </si>
  <si>
    <t>KC14_314</t>
  </si>
  <si>
    <t>KC14_363</t>
  </si>
  <si>
    <t>Pre-Y1</t>
  </si>
  <si>
    <t>Age model from Köng et al. (2016) gives a date of 18.8 ± 0.3 ka; the pre-Y1 eruption was dated to 18.1 ka (Albert et al., 2013; Insinga et al., 2014)</t>
  </si>
  <si>
    <t xml:space="preserve">Köng et al. (2016) </t>
  </si>
  <si>
    <t>Köng et al. (2016); Albert et al. (2013); Insinga et al. (2014)</t>
  </si>
  <si>
    <t>Composition matched to E1, but the date of E1 is too young</t>
  </si>
  <si>
    <t>KC01_174</t>
  </si>
  <si>
    <t>EPMA data somewhat unclear</t>
  </si>
  <si>
    <t>Geo15403-4</t>
  </si>
  <si>
    <t>AD 1944</t>
  </si>
  <si>
    <t>Geo15403-4_1.25-1.5</t>
  </si>
  <si>
    <t>Geo15403-4_357.5-360</t>
  </si>
  <si>
    <t xml:space="preserve">ND14Q </t>
  </si>
  <si>
    <t>ND14Q_SW</t>
  </si>
  <si>
    <t>ND14Q_AR2</t>
  </si>
  <si>
    <t>Jalali et al. (2018)</t>
  </si>
  <si>
    <t>ND14Q/33–34</t>
  </si>
  <si>
    <t>ND14Q/162</t>
  </si>
  <si>
    <t>ND14Q/167</t>
  </si>
  <si>
    <t>ND14Q/267</t>
  </si>
  <si>
    <t>ND14Q/328</t>
  </si>
  <si>
    <t>ND14Q_AR2/104</t>
  </si>
  <si>
    <t>ND14Q_AR2/106</t>
  </si>
  <si>
    <t>ND14Q_AR2/120</t>
  </si>
  <si>
    <t>ND14Q_AR2/143–145</t>
  </si>
  <si>
    <t>ND14Q_AR2/237</t>
  </si>
  <si>
    <t>ND14Q_AR2/244</t>
  </si>
  <si>
    <t>ND14Q_AR2/399</t>
  </si>
  <si>
    <t>ND14Q_AR2/408–410</t>
  </si>
  <si>
    <t>ND14Q_AR2/427</t>
  </si>
  <si>
    <t>ND14Q_AR2/495</t>
  </si>
  <si>
    <t>ND14Q_AR2/530</t>
  </si>
  <si>
    <t>ND14Q_AR2/535</t>
  </si>
  <si>
    <t>ND14Q_AR2/425b</t>
  </si>
  <si>
    <t>Matched to the T646 identified by Matthews et al. (2015) which was dated to 14,901–14,050 cal yr BP</t>
  </si>
  <si>
    <t>ND14Q/326a</t>
  </si>
  <si>
    <t>ND14Q/326b</t>
  </si>
  <si>
    <t>Paleopisani 2 (?)</t>
  </si>
  <si>
    <t>Lirer et al. (2013)</t>
  </si>
  <si>
    <t>ND14Q/121b</t>
  </si>
  <si>
    <t>Astroni 6</t>
  </si>
  <si>
    <t>ND14Q/127b</t>
  </si>
  <si>
    <t>ND14Q/127a</t>
  </si>
  <si>
    <t>ND14Q/121a</t>
  </si>
  <si>
    <t>ND14Q/67a</t>
  </si>
  <si>
    <t>ND14Q_AR2/48b</t>
  </si>
  <si>
    <t>ND14Q_AR2/49b</t>
  </si>
  <si>
    <t>ND14Q/67b</t>
  </si>
  <si>
    <t>1631 CE</t>
  </si>
  <si>
    <t>tS1</t>
  </si>
  <si>
    <t>tS1-γ</t>
  </si>
  <si>
    <t>tS2</t>
  </si>
  <si>
    <t>tS3</t>
  </si>
  <si>
    <t>tS3-α</t>
  </si>
  <si>
    <t>tS4</t>
  </si>
  <si>
    <t>tS4-α</t>
  </si>
  <si>
    <t>AP6</t>
  </si>
  <si>
    <t>C836</t>
  </si>
  <si>
    <t>C90</t>
  </si>
  <si>
    <t>Lirer et al. (2013); Sacchi et al. (2009)</t>
  </si>
  <si>
    <t>Arrighi et al. (2001)</t>
  </si>
  <si>
    <t>TEA-C6</t>
  </si>
  <si>
    <t>t1</t>
  </si>
  <si>
    <t>t2</t>
  </si>
  <si>
    <t>t4</t>
  </si>
  <si>
    <t>t5</t>
  </si>
  <si>
    <t>t6</t>
  </si>
  <si>
    <t>t7</t>
  </si>
  <si>
    <t>t8</t>
  </si>
  <si>
    <t>1790 CE</t>
  </si>
  <si>
    <t>437 CE</t>
  </si>
  <si>
    <t>Lami</t>
  </si>
  <si>
    <t>Campi Flegrei (?)</t>
  </si>
  <si>
    <t>5(2)</t>
  </si>
  <si>
    <t>5(4)</t>
  </si>
  <si>
    <t>19(5)</t>
  </si>
  <si>
    <t>Crocitti et al. (2019)</t>
  </si>
  <si>
    <t>GS1</t>
  </si>
  <si>
    <t>D1</t>
  </si>
  <si>
    <t>GT2</t>
  </si>
  <si>
    <t>D1/1</t>
  </si>
  <si>
    <t>D1/2</t>
  </si>
  <si>
    <t>D1/3</t>
  </si>
  <si>
    <t>D1/4</t>
  </si>
  <si>
    <t>D1/5</t>
  </si>
  <si>
    <t>D1/6</t>
  </si>
  <si>
    <t>D1/7</t>
  </si>
  <si>
    <t>GS1/1</t>
  </si>
  <si>
    <t>GS1/2</t>
  </si>
  <si>
    <t>GS1/3</t>
  </si>
  <si>
    <t>GS1/4</t>
  </si>
  <si>
    <t>GS1/5</t>
  </si>
  <si>
    <t>GS1/6b</t>
  </si>
  <si>
    <t>GS1/7</t>
  </si>
  <si>
    <t>GS1/8</t>
  </si>
  <si>
    <t>GS1/9</t>
  </si>
  <si>
    <t>GS1/10</t>
  </si>
  <si>
    <t>GS1/11a</t>
  </si>
  <si>
    <t>GS1/11b</t>
  </si>
  <si>
    <t>GS1/12</t>
  </si>
  <si>
    <t>GS1/13</t>
  </si>
  <si>
    <t>GS1/14</t>
  </si>
  <si>
    <t>GS1/15</t>
  </si>
  <si>
    <t>GS1/16</t>
  </si>
  <si>
    <t>GS1/17</t>
  </si>
  <si>
    <t>GS1/18</t>
  </si>
  <si>
    <t>GT2/1</t>
  </si>
  <si>
    <t>GT2/2a</t>
  </si>
  <si>
    <t>GT2/2b</t>
  </si>
  <si>
    <t>GT2/3</t>
  </si>
  <si>
    <t>GT2/4</t>
  </si>
  <si>
    <t>GT2/5</t>
  </si>
  <si>
    <t>GT2/6</t>
  </si>
  <si>
    <t>GT2/7</t>
  </si>
  <si>
    <t>GT2/8</t>
  </si>
  <si>
    <t>GT2/9</t>
  </si>
  <si>
    <t>1723 CE</t>
  </si>
  <si>
    <t>1730 CE</t>
  </si>
  <si>
    <t>1779 CE</t>
  </si>
  <si>
    <t>1794 CE</t>
  </si>
  <si>
    <t>Pigna San Nicola</t>
  </si>
  <si>
    <t>Piano Liguori</t>
  </si>
  <si>
    <t>AP1-AP2</t>
  </si>
  <si>
    <t>AS2</t>
  </si>
  <si>
    <t>AS3</t>
  </si>
  <si>
    <t>Averno 1</t>
  </si>
  <si>
    <t>Median age (cal yr BP)</t>
  </si>
  <si>
    <t>Minimum age (cal yr BP)</t>
  </si>
  <si>
    <t>Maximum age (cal yr BP)</t>
  </si>
  <si>
    <t>Sadori &amp; Narcisi (2001)</t>
  </si>
  <si>
    <t>Leicher et al. (2021); Francke et al. (2019)</t>
  </si>
  <si>
    <t>Dating references</t>
  </si>
  <si>
    <t>ND14A-15</t>
  </si>
  <si>
    <t>ND14A-79</t>
  </si>
  <si>
    <t>ND14A-60-62</t>
  </si>
  <si>
    <t>ND14Q_AR2/48a/49a</t>
  </si>
  <si>
    <t>7(10)</t>
  </si>
  <si>
    <t>Sulpizio et al. (2010) suggest that there are two different compositions of glass</t>
  </si>
  <si>
    <t>Manning et al. (2022)</t>
  </si>
  <si>
    <t>Askja-S</t>
  </si>
  <si>
    <t>LG Lipari</t>
  </si>
  <si>
    <t>6(3)</t>
  </si>
  <si>
    <t>Clear shard peak at this depth</t>
  </si>
  <si>
    <t>Kearney et al. (2018, 2024)</t>
  </si>
  <si>
    <t>MD90-918</t>
  </si>
  <si>
    <t>MD90-918_2</t>
  </si>
  <si>
    <t>MD90-918_210</t>
  </si>
  <si>
    <t>MD90-918_218</t>
  </si>
  <si>
    <t>MD90-918_223</t>
  </si>
  <si>
    <t>MD90-918_ 230</t>
  </si>
  <si>
    <t xml:space="preserve">Monte Pilato </t>
  </si>
  <si>
    <t>Mercato (?) Possibly the first eruptive phase of Mercato or a small event preceding main eruption</t>
  </si>
  <si>
    <t xml:space="preserve">Mercato (?) Possibly the late stages of the eruption </t>
  </si>
  <si>
    <t>Two occurrences of Mercato within the same core ?</t>
  </si>
  <si>
    <t>Agnano Monte Spina or Astroni (?)</t>
  </si>
  <si>
    <t>Agnano Monte Spina Unit B or Paleoastroni 1 (?)</t>
  </si>
  <si>
    <t xml:space="preserve">Pomici Principali </t>
  </si>
  <si>
    <t>TM-7a and TM-7b assigned to the same eruption - potential reworking?</t>
  </si>
  <si>
    <t>Mercato (top)</t>
  </si>
  <si>
    <t>Mercato (base)</t>
  </si>
  <si>
    <t>Biancavilla Montalto</t>
  </si>
  <si>
    <t>Biancavilla Montalto recognised at multiple depths (?)</t>
  </si>
  <si>
    <t>Unsure if Biancavilla ID is reliable; site pre-dates knowledge of TM11</t>
  </si>
  <si>
    <t xml:space="preserve">Biancavilla Montalto </t>
  </si>
  <si>
    <t>Levantine Sea</t>
  </si>
  <si>
    <t>79 CE (Pompeii)</t>
  </si>
  <si>
    <t>472 CE (Pollena)</t>
  </si>
  <si>
    <t>472 CE</t>
  </si>
  <si>
    <t>Post 1631 CE activity</t>
  </si>
  <si>
    <t>472 CE (Pollena) or 512 CE</t>
  </si>
  <si>
    <t>SK19 356cm/368cm</t>
  </si>
  <si>
    <t>11(9)</t>
  </si>
  <si>
    <t>This originally represented two distinct samples SK19 356cm and SK19 368cm but these were both assigned to Astroni and have the same age constraints/ are indistinguishable so have been combined here</t>
  </si>
  <si>
    <t>QUEST519/8 (PhT2)</t>
  </si>
  <si>
    <t>Monticchio varve age</t>
  </si>
  <si>
    <t>Casale</t>
  </si>
  <si>
    <t>Could date to 11915-12721 on the basis of being older than the Pomici Principali and younger than the Archiaverno, both of which are dated in Smith et al. (2011)?</t>
  </si>
  <si>
    <t>La Pigna</t>
  </si>
  <si>
    <t>Not correlated with a known eruption so only available age is a varve age</t>
  </si>
  <si>
    <t>Wulf et al. (2004, 2007, 2008)</t>
  </si>
  <si>
    <t>1944 CE</t>
  </si>
  <si>
    <t>Same eruption identified in multiple layers (TM-10a, TM-10b, TM-10c, TM-10d); potentially reworking (?) so only represented once here</t>
  </si>
  <si>
    <t>17(32)</t>
  </si>
  <si>
    <t>Rolandi et al. (1998); Santacroce et al. (2008)</t>
  </si>
  <si>
    <t>Historical eruption</t>
  </si>
  <si>
    <t xml:space="preserve">Absolute (non-14C) age </t>
  </si>
  <si>
    <t>Modelled age</t>
  </si>
  <si>
    <t>Rolandi et al. (1998); Santacroce et al. (2008); Leicher et al. (2021)</t>
  </si>
  <si>
    <t>472 CE / 512 CE</t>
  </si>
  <si>
    <t>Modelled uncertainty</t>
  </si>
  <si>
    <t>Varve uncertainty</t>
  </si>
  <si>
    <t>79 CE</t>
  </si>
  <si>
    <t>Marianelli et al. (1999)</t>
  </si>
  <si>
    <t>Averno 2</t>
  </si>
  <si>
    <t>Tephra not visible macroscopically as they do not occur in discrete layers; identified using microcopic observation and by magnetic susceptibility</t>
  </si>
  <si>
    <t>Radiocarbon date on terrestrial charred material (Sadori &amp; Narcisi, 2001). Calibrated (IntCal20) radiocarbon age, 95.4% confidence interval</t>
  </si>
  <si>
    <t>Two occurrences of Mercato?</t>
  </si>
  <si>
    <t>Bayesian age-depth model</t>
  </si>
  <si>
    <t>Corresponds well with distal Ionian Sea tephra marker M25/4‐12‐44 cm (Albert et al., 2013) but this has yet to be correlated to a proximal deposit</t>
  </si>
  <si>
    <t>Radiocarbon-based Bayesian depositional model for Kråkenes (Lohn et al., 2014) updated by Engels et al. (2022) using IntCal20 in OxCal version 4.5</t>
  </si>
  <si>
    <t>Radiocarbon-based Bayesian depositional model for Kråkenes (Lohn et al., 2014) updated by Engels et al. (2022) using IntCal20 in OxCal version 4.6</t>
  </si>
  <si>
    <t>Ages given as 463 and 532 years CE ± 120 years based on 14C dates</t>
  </si>
  <si>
    <t xml:space="preserve">Gabellotto-Fiumebianco (?) </t>
  </si>
  <si>
    <t>Calibrated (IntCal20) radiocarbon age, 95.4% confidence interval. Dating of foraminifera in core GeoTu S112 associated with the tephra layer</t>
  </si>
  <si>
    <t>Schmitt et al. (2011)</t>
  </si>
  <si>
    <t>Sevink et al. (2021)</t>
  </si>
  <si>
    <t>3818 </t>
  </si>
  <si>
    <t>3859 </t>
  </si>
  <si>
    <t>Bayesian modelled age</t>
  </si>
  <si>
    <t>Wulf et al. (2004, 2007, 2008); Orsi et al. (1996)</t>
  </si>
  <si>
    <t>Varve age. Also associated with the terrestrial age 2790 ± 150 14C yrs BP (Orsi et al., 1996)</t>
  </si>
  <si>
    <t>La Pigna 1</t>
  </si>
  <si>
    <t>Tuff Biancastri</t>
  </si>
  <si>
    <t>Deposits from the FL eruption are dispersed through the interval 90-80 cm in the core; suggested to represent the full FL event</t>
  </si>
  <si>
    <t>Modelled age (95.4% confidence); model from Smith et al. (2011) was re-run with OxCal Version 4.4 to bring up to IntCal20</t>
  </si>
  <si>
    <t>Avellino (?)</t>
  </si>
  <si>
    <t>La Pigna or Neapolitan Yellow Tuff units 1–6 (?)</t>
  </si>
  <si>
    <t>Varve age used due to uncertain eruption ID</t>
  </si>
  <si>
    <t xml:space="preserve">Palaeoastroni 1 or Averno 1 </t>
  </si>
  <si>
    <t>Modelled age (95.4% confidence); model from Bronk Ramsey et al. (2015) was re-run with OxCal Version 4.4 to bring up to IntCal20</t>
  </si>
  <si>
    <t>Modelled age (95.4% confidence); model from Bronk Ramsey et al. (2015) was re-run with OxCal Version 4.4 to bring up to IntCal20. Also radiocarbon dated by Siani et al. (2004) on marine sample</t>
  </si>
  <si>
    <t>Modelled age (95.4% confidence)</t>
  </si>
  <si>
    <t>Monte Pilato (?)</t>
  </si>
  <si>
    <t>A correlation with the Monte Pilato eruption is suggested but the broader age range is used here</t>
  </si>
  <si>
    <t>+499 / -693</t>
  </si>
  <si>
    <t>+279 / -336</t>
  </si>
  <si>
    <t>+279 / -337</t>
  </si>
  <si>
    <t>+279 / -338</t>
  </si>
  <si>
    <t>ND141Q/127a may also contain shards from AP eruptions</t>
  </si>
  <si>
    <t>217-216 BCE</t>
  </si>
  <si>
    <t>Suggested link with volcanic activity reported by Livy and Silius Italicus (Andronico &amp; Cioni, 2002)</t>
  </si>
  <si>
    <t>Andronico &amp; Cioni (2002)</t>
  </si>
  <si>
    <t>Rolandi et al. (1998); Andronico &amp; Cioni (2002); Wulf et al. (2004, 2008)</t>
  </si>
  <si>
    <t>AP3-5 are thought to have occurred within short time interval (~100-200 yrs) (Andronico &amp; Cioni, 2002), but are not reliably dated so max possible range is used</t>
  </si>
  <si>
    <t>Possible AP3 (?)</t>
  </si>
  <si>
    <t>Tufi Biancastri (?)</t>
  </si>
  <si>
    <t>+260 / −297</t>
  </si>
  <si>
    <t>Comments</t>
  </si>
  <si>
    <t>Volcano latitude</t>
  </si>
  <si>
    <t>Volcano longitude</t>
  </si>
  <si>
    <t>East Eifel volcanic field</t>
  </si>
  <si>
    <t>SC1_25-30_comp1</t>
  </si>
  <si>
    <t>Sodmein Cave</t>
  </si>
  <si>
    <t>Egypt</t>
  </si>
  <si>
    <t>Barton et al. (2015)</t>
  </si>
  <si>
    <t>288 shards / g</t>
  </si>
  <si>
    <t>SC1_25-30_comp2</t>
  </si>
  <si>
    <t>SC1_25-30_comp3</t>
  </si>
  <si>
    <t>Red Sea Mountains</t>
  </si>
  <si>
    <t>Dikkartın (?)</t>
  </si>
  <si>
    <t>Close compositional match with S-1 from Hamman et al. (2010)</t>
  </si>
  <si>
    <t>Nemrut Dagi (?)</t>
  </si>
  <si>
    <t>Small (n=2) population within the 25-30 cm layer attributed to an unknown Nemrut Dagi eruption</t>
  </si>
  <si>
    <t>Small (n=2) population within the 25-30 cm layer attributed to an unknown Campi Flegrei eruption</t>
  </si>
  <si>
    <t>Dikkartın</t>
  </si>
  <si>
    <t>Neugebauer et al. (2017)</t>
  </si>
  <si>
    <t>Dead Sea</t>
  </si>
  <si>
    <t>Tayma paleolake</t>
  </si>
  <si>
    <t>Absolutely dated with U-Th (Friedrichs et al., 2020); modelled age also available (Neugebauer et al., 2017)</t>
  </si>
  <si>
    <t>Friedrichs et al. (2020); Neugebauer et al. (2017)</t>
  </si>
  <si>
    <t>RdV-T1</t>
  </si>
  <si>
    <t>Riparo di Venere</t>
  </si>
  <si>
    <t>13,380 (above); 13,620 (below)</t>
  </si>
  <si>
    <t>Ellittico caldera-forming phase</t>
  </si>
  <si>
    <t>Crypto (?)</t>
  </si>
  <si>
    <t>Visible (very thick ~122 cm)</t>
  </si>
  <si>
    <t>Visible (75 cm thick)</t>
  </si>
  <si>
    <t>Totaro et al. (2022)</t>
  </si>
  <si>
    <t>Insinga et al. (2020)</t>
  </si>
  <si>
    <t>Calanchi et al. (1996); Lucchini et al. (2003); Guilizzoni et al. (2002)</t>
  </si>
  <si>
    <t>Menke et al. (2018)</t>
  </si>
  <si>
    <t>Narcisi (2001)</t>
  </si>
  <si>
    <t>Min n tephras</t>
  </si>
  <si>
    <t>Max n tephras</t>
  </si>
  <si>
    <t xml:space="preserve">Great circle distance between source and deposit (km) </t>
  </si>
  <si>
    <t>Süphan Dagi</t>
  </si>
  <si>
    <t>Friedrichs et al. (2020); Hamann et al. (2010)</t>
  </si>
  <si>
    <t>Friedrichs et al. (2020); Barton et al. (2015)</t>
  </si>
  <si>
    <t>Crocitti et al. (2019); Tanguy et al. (2003); Arrighi et al. (2006)</t>
  </si>
  <si>
    <t>Dated based on stratigraphic position between Soccavo 1 and Gabellotto-Fiumebianco but exact identification not possible due to dispersed composition of glasses</t>
  </si>
  <si>
    <t>Agnano Monte Spina - Astroni group (?)</t>
  </si>
  <si>
    <t>Nowaczyk et al. (2012, 2013)</t>
  </si>
  <si>
    <t>Nowaczyk et al. (2012)</t>
  </si>
  <si>
    <t>Süphan swarm  eruptives</t>
  </si>
  <si>
    <t>11(2)(1)</t>
  </si>
  <si>
    <t>t3a in the same core was also identified as Lami, however with limited EPMA data - possible reworking?</t>
  </si>
  <si>
    <t>Monte Pilato - Rocche Rosse</t>
  </si>
  <si>
    <t>Pistolesi et al. (2021)</t>
  </si>
  <si>
    <t>t3</t>
  </si>
  <si>
    <t>2(2)</t>
  </si>
  <si>
    <t>640 CE</t>
  </si>
  <si>
    <t>Matthews et al. (2015); Pappalardo et al. (1999)</t>
  </si>
  <si>
    <t>Unknown, possibly Porto Miseno (?)</t>
  </si>
  <si>
    <t>Unknown, possibly Monte Nuovo (AD 1538) (?)</t>
  </si>
  <si>
    <t>Ages given as 81 and 113 years CE ± 120 years based on modelled 14C dates</t>
  </si>
  <si>
    <t>1370 - 1391</t>
  </si>
  <si>
    <t>1837 - 1869</t>
  </si>
  <si>
    <t>1418 - 1487</t>
  </si>
  <si>
    <t>1117 - 1199</t>
  </si>
  <si>
    <t>RESET Site ID</t>
  </si>
  <si>
    <t>Angle between source and deposit (bearing in degrees)</t>
  </si>
  <si>
    <t>Late stage Tufi Biancastri (LN1) (?)</t>
  </si>
  <si>
    <t>Late stage Tufi Biancastri (LN2) (?)</t>
  </si>
  <si>
    <t>LC21 (2.005)</t>
  </si>
  <si>
    <t>LC21 (3.225)</t>
  </si>
  <si>
    <t>LC21 (0.940)</t>
  </si>
  <si>
    <t xml:space="preserve">Top: 12018. Base: 12143 </t>
  </si>
  <si>
    <t>Top: ± 349. Base: ± 346.</t>
  </si>
  <si>
    <t>Top: 21653. Base: 21751.</t>
  </si>
  <si>
    <t>Top: ± 575. Base: ± 581.</t>
  </si>
  <si>
    <t>733 shards / g</t>
  </si>
  <si>
    <t>720 shards / g</t>
  </si>
  <si>
    <t>5590 shards / g</t>
  </si>
  <si>
    <t>944 shards / g</t>
  </si>
  <si>
    <t>2037 shards / g</t>
  </si>
  <si>
    <t>2683 shards / g</t>
  </si>
  <si>
    <t>156 shards / g</t>
  </si>
  <si>
    <t>150 shards / g</t>
  </si>
  <si>
    <t>320 shards / g</t>
  </si>
  <si>
    <t>340 shards / g</t>
  </si>
  <si>
    <t>300 shards / g</t>
  </si>
  <si>
    <t>100 shards / g</t>
  </si>
  <si>
    <t>5340 shards / g</t>
  </si>
  <si>
    <t>997 shards / g</t>
  </si>
  <si>
    <t>335 shards / g</t>
  </si>
  <si>
    <t>2500 shards / g</t>
  </si>
  <si>
    <t>~2000 shards / g</t>
  </si>
  <si>
    <t>FS</t>
  </si>
  <si>
    <t>Freydier et al. (2001); Insinga (2020)</t>
  </si>
  <si>
    <t>122 CE</t>
  </si>
  <si>
    <t>FG (historical 122 CE event?)</t>
  </si>
  <si>
    <t>± 5 / ± 3</t>
  </si>
  <si>
    <t>233 / 185</t>
  </si>
  <si>
    <t>I-1-a</t>
  </si>
  <si>
    <t>12(11)</t>
  </si>
  <si>
    <t>St. Angelo Tuff (?)</t>
  </si>
  <si>
    <t>Totaro et al. (2022); Siani et al. (2004); Wulf et al. (2004, 2008)</t>
  </si>
  <si>
    <t>Rolandi et al. (1998); Albore Livadie et al. (2007, 2019); Totaro et al. (2022); Wulf et al. (2004, 2008)</t>
  </si>
  <si>
    <t>DSEn (Ein Gedi)</t>
  </si>
  <si>
    <t>30 shards / g</t>
  </si>
  <si>
    <t>2062 shards / g</t>
  </si>
  <si>
    <t>12 shards / g</t>
  </si>
  <si>
    <t>781 shards / g</t>
  </si>
  <si>
    <t>1974 shards / g</t>
  </si>
  <si>
    <t>Secondary volcano longitude</t>
  </si>
  <si>
    <t>Acigöl, Central Anatolian volcanic province (?)</t>
  </si>
  <si>
    <t>Lipari, Etna</t>
  </si>
  <si>
    <t>Somma-Vesuvius, Etna</t>
  </si>
  <si>
    <t>Lipari (?), Somma-Vesuvius</t>
  </si>
  <si>
    <t>Etna, Vulcano (?)</t>
  </si>
  <si>
    <t>Aeolian, Campi Flegrei</t>
  </si>
  <si>
    <t>Lipari, Somma-Vesuvius</t>
  </si>
  <si>
    <t xml:space="preserve">Unknown, 512 AD </t>
  </si>
  <si>
    <t>Unknown, 79 CE (Pompeii)</t>
  </si>
  <si>
    <t>Cannavale or Chiarito (?)</t>
  </si>
  <si>
    <t>Greenish (Verdoline)</t>
  </si>
  <si>
    <t>Biancavilla Montalto or TM11 (?)</t>
  </si>
  <si>
    <t>640 CE, unidentified historical Etna activity</t>
  </si>
  <si>
    <t>Casale (?), unknown</t>
  </si>
  <si>
    <t>AP 2-4 eruptions, FL</t>
  </si>
  <si>
    <t>Unknown, reworked Pompeii</t>
  </si>
  <si>
    <t>Unit D, La Fossa caldera activity (?)</t>
  </si>
  <si>
    <t>Guneydağ or Korudağ (?)</t>
  </si>
  <si>
    <t>Great circle distance between source and deposit (km) - secondary</t>
  </si>
  <si>
    <t>Angle between source and deposit (bearing in degrees) - secondary</t>
  </si>
  <si>
    <t>Altitude (m)</t>
  </si>
  <si>
    <t>Sample type</t>
  </si>
  <si>
    <t>The site ID if the site is recorded in the RESET database</t>
  </si>
  <si>
    <t>Latitude of deposit site</t>
  </si>
  <si>
    <t>Longitude of deposit site</t>
  </si>
  <si>
    <t>Altitude of deposit site</t>
  </si>
  <si>
    <t>Volcanic source of the tephra deposit</t>
  </si>
  <si>
    <t>Secondary volcano latitude</t>
  </si>
  <si>
    <t>19620, 17266</t>
  </si>
  <si>
    <t>270, 147</t>
  </si>
  <si>
    <t>Visible or cryptotephra</t>
  </si>
  <si>
    <t>Modelled age typically given at 95.4% confidence</t>
  </si>
  <si>
    <t>Calibrated (IntCal20) radiocarbon age on terrestrial material, 95.4% confidence interval</t>
  </si>
  <si>
    <t>Calibrated (IntCal20) radiocarbon age, 95.4% confidence interval. 14C date from carbonized plant fragments. Unfortunately not possible to obtain raw 14C dates from Keller (2002)</t>
  </si>
  <si>
    <t>Full range for Biancavilla and TM11 eruptions utilised due to uncertain identification. Median age is actually the mean of upper bound of Biancavilla and lower bound of TM11. Both eruptions have modelled ages (95.4% confidence); model from Bronk Ramsey et al. (2015) was re-run with OxCal Version 4.4 to bring up to IntCal20</t>
  </si>
  <si>
    <t>AP1-2 converge around c. 3500-3700 BP, as noted by Totaro et al. (2022). Modelled age for AP2-3: 3414 (+279 / -336) (Totaro et al., 2022). Numerous 14C dates: 3225 ± 140 14C yrs BP (Rolandi et al., 1998); 3380 ± 23 14C yrs BP (Albore Livadie et al., 2007, 2019)</t>
  </si>
  <si>
    <t>Calibrated (IntCal20) radiocarbon age on terrestrial material, 95.4% confidence interval. Modelled age for AP2-3: 3414 (+279 / -336) appears too old (Totaro et al., 2022)</t>
  </si>
  <si>
    <t>Age for this eruptive sequence is poorly constrained. Maximum possible range (CE 760- CE 1220 ± 30) reported by Crocitti et al. (2019) is utilised, based on paleomagnetic dating by Tanguy et al. (2003). Median age is actually the mean of the upper and lower bounds</t>
  </si>
  <si>
    <t>Radiocarbon dating on charcoal in the Piano Liguori marker bed. Calibrated (IntCal20); 95.4% confidence interval</t>
  </si>
  <si>
    <t>Full range for the Agnano Monte Spina - Astroni eruptions is used. Modelled age (95.4% confidence); model from Smith et al. (2011) was re-run with OxCal Version 4.4 to bring up to IntCal20. Min = min age of Astroni 6. Max = max age of Agnano Monte Spina</t>
  </si>
  <si>
    <t>Radiocarbon date on charcoal. Calibrated (IntCal20); 95.4% confidence interval</t>
  </si>
  <si>
    <t>U-Th/ He; Guneydağ eruption dated to 23800 ± 2100 yrs BP, while Korudağ eruption dated to 24900 ± 2100 yrs BP</t>
  </si>
  <si>
    <t>Approximate age of unidentified tephras is based on the age model by Nowaczyk et al. (2012, 2013). No uncertainty range provided; ± 500 was applied arbitrarily</t>
  </si>
  <si>
    <t>Approximate age of unidentified tephras is based on the age model by Nowaczyk et al. (2012, 2013). No uncertainty range provided; ± 20 was applied arbitrarily</t>
  </si>
  <si>
    <t>Approximate age of unidentified tephras is based on the age model by Nowaczyk et al. (2012). Age given as ~14-16 ka</t>
  </si>
  <si>
    <t>Radiocarbon dates on material sampled above and below tephra deposit. Mean of these dates was calibrated (IntCal20); 95.4% confidence interval</t>
  </si>
  <si>
    <t>Modelled age; no uncertainty provided so ± 500 yrs adopted arbitrarily. The modelled age for the Casale eruption presented by Smith et al. (2011) could be used here, but as the identification is uncertain the site-specific age model is used preferentially</t>
  </si>
  <si>
    <t>Modelled age; no uncertainty provided so ± 500 yrs adopted arbitrarily</t>
  </si>
  <si>
    <t>UM42/7 occurs ~1 cm below 14C-dated foraminifera. The mean sedimentation rate of is estimated at c. 3 cm/ ka, so extrapolating this an age of ~2.2 ka was inferred by Insinga et al. (2020). No uncertainty provided so ± 500 yrs is applied arbitrarily</t>
  </si>
  <si>
    <t>Calibrated (IntCal20) radiocarbon age on on forams 1 cm below the tephra layer, 95.4% confidence interval</t>
  </si>
  <si>
    <t>Calibrated radiocarbon date, presumably with IntCal98. Unfortunately not possible to find the uncalibrated date</t>
  </si>
  <si>
    <t>Radiocarbon date on terrestrial charred material (Sadori &amp; Narcisi, 2001). Calibrated (IntCal20) radiocarbon age, 95.4% confidence interval. Leicher et al. (2021) provide an age-depth model</t>
  </si>
  <si>
    <t>Modelled age (95.4% confidence); model from Smith et al. (2011) was re-run with OxCal Version 4.4 to bring up to IntCal20. Full age range for Palaeoastroni 1 - Averno 1 used due to uncertain eruption ID. Paleoastroni 1: 4748-4833. Averno 1: 5056-5322</t>
  </si>
  <si>
    <t>Calibrated (IntCal20) radiocarbon age on charcoal in the Piano Liguori marker bed, 95.4% confidence interval. Modelled age (Matthews et al., 2015) is also available</t>
  </si>
  <si>
    <t>Glass shards correlated with Süphan swarm eruptions, which occurred over a short period of ~338 yrs. These are recorded as the V-8 to V-15 volcanic layers in Lake Van varved sediments (Schmincke and Sumita, 2014)</t>
  </si>
  <si>
    <t>Modelled age (95.4% confidence); model from Smith et al. (2011) was re-run with OxCal Version 4.4 to bring up to IntCal20. Astroni 1: 4156-4370. Astroni 6: 4000-4234</t>
  </si>
  <si>
    <t>Modelled age (Totaro et al., 2022) utilised. Note that this diverges from radiocarbon-based age estimates for AP3</t>
  </si>
  <si>
    <t>Modelled age (95.4% confidence); model from Smith et al. (2011) was re-run with OxCal Version 4.4 to bring up to IntCal20. Full age range for La Pigna 1 - La Pigna 2 used due to uncertain eruption ID. La Pigna 1: 12844-13098. La Pigna 2: 12752-13071</t>
  </si>
  <si>
    <t>Calibrated (IntCal20) radiocarbon age, 95.4% confidence interval</t>
  </si>
  <si>
    <t>Varve age; K/ Ar age from Poli et al. (1987) also available</t>
  </si>
  <si>
    <t>Mixed population; some shards are correlated with the 512 CE eruption but the full 14C-based modelled age range of the layer is used</t>
  </si>
  <si>
    <t>In RESET depth is given as 299/436 cm but I cannot find a reference to 436 cm in the text</t>
  </si>
  <si>
    <t/>
  </si>
  <si>
    <t>Tephra not visible macroscopically as they do not occur in discrete layers; tephra was identified using microcopic observation and by magnetic susceptibility</t>
  </si>
  <si>
    <t>Initially identified as Biancavilla Ignimbrite (Y1) but reassessed as TM11. ID is uncertain hence age uncertain</t>
  </si>
  <si>
    <t>Two distinct ash layers GT2/6 and GT2/7 identified in the same sequence; attributed to a sequence of several eruptive events rather than reworking</t>
  </si>
  <si>
    <t>Identification uncertain; stratigraphic position and homogeneous K-phonolitic composition suggest AMS-Astroni group of eruptions from Campi Flegrei. Most likely correlation is Astroni 6</t>
  </si>
  <si>
    <t>PT0915-3 overlaps compositionally with LN1, an Adriatic sediment record reported by Siani et al. (2004)</t>
  </si>
  <si>
    <t>PT0915-4 overlaps compositionally with LN2, an Adriatic sediment record reported by Siani et al. (2004)</t>
  </si>
  <si>
    <t>Two samples ND14A-60 AND ND14A-62 from 60 cm and 62 cm depth respectively are identified as the 472 CE (Pollena) eruption. They are combined as one entry here</t>
  </si>
  <si>
    <t>Lamy (2006) cited but contains no tephra data</t>
  </si>
  <si>
    <t>Two overlapping twin cores AC3 and AC4 were taken</t>
  </si>
  <si>
    <t>Mixed populations likely from the fallout of multiple closely timed eruptions</t>
  </si>
  <si>
    <t>Four cores were collected from the basin, but radiocarbon dates and pollen data are only available for ML01 and ML00; exact coordinates are available for ML01, while ML00 was obtained 145 m away. The paper by Margari et al. (2007) reports other tephras, but these have not been included because they are too old</t>
  </si>
  <si>
    <t>Gravity core was sampled at 170 m water depth</t>
  </si>
  <si>
    <t>Consists of two units. The lower unit mostly contains glass shards, whereas the upper unit contains pumice fragments and a small amount of glass shards &lt;1 mm diameter</t>
  </si>
  <si>
    <t>6 samples are reported by Neugebauer et al. (2021), however all show highly mixed populations. Only sample 5017-C2-33 is strongly dominated by one population</t>
  </si>
  <si>
    <t>Originally identified as the Biancavilla Ignimbrite but subsequently reassessed</t>
  </si>
  <si>
    <t>Heterogenous composition, containing one group exhibiting a trachy-phonolitic trend between 53.5% and 58% of SiO2 and a more homogenous group around 60–61% of SiO2. The evolved portion is a good match for Capo Palinuro</t>
  </si>
  <si>
    <t>Many of the tephra layers have compositions similar to the Agnano Monte Spina, but this layer is confirmed as being the Agnano Monte Spina</t>
  </si>
  <si>
    <t>This tephra was identified at 48 cm and 49 cm depth; these occurrences are represented by one entry here</t>
  </si>
  <si>
    <t>Broad compositional range of tephras but most cluster in AP2 compositional field</t>
  </si>
  <si>
    <t>Composition matches 472 CE and 512 CE eruptions. The composition of these eruptions is similar as they were erupted ~40 years apart from the same magma chamber. Vogel et al. (2009) suggest this could comprise mixed propulations from both eruptions</t>
  </si>
  <si>
    <t>Exact coordinates of core not provided. Coordinates from Co1202 core used in lieu. Core was recovered from the south-eastern part of the lake basin</t>
  </si>
  <si>
    <t>One of six ash layers deposited between the Neapolitan Yellow Tuff and La Pigna</t>
  </si>
  <si>
    <t>Interplinian Avellino-Pompeii activities</t>
  </si>
  <si>
    <t>EPMA data is available but samples are not clearly named. Lipari eruptive phases are chemically similar but this ID is made on the basis of the position of the tephra within the core</t>
  </si>
  <si>
    <t>EPMA data is available but samples are not clearly named. Mixed population with both Lipari and Somma-Vesuvius glasses</t>
  </si>
  <si>
    <t>EPMA data is available but samples are not clearly named. One shard found with a Somma-Vesuvius ID associated with the 79 CE eruption, but Lipari is the dominant source. Correlated with t6 in TEA-C6 core</t>
  </si>
  <si>
    <t>EPMA data is available but samples are not clearly named</t>
  </si>
  <si>
    <t>Absolute (non-14C) age uncertainty</t>
  </si>
  <si>
    <t xml:space="preserve"> 23800, 24900</t>
  </si>
  <si>
    <t xml:space="preserve"> 23801, 24900</t>
  </si>
  <si>
    <t>205, 1150</t>
  </si>
  <si>
    <t>9765, 9050</t>
  </si>
  <si>
    <t>Paleomagnetic dating by Pistolesi et al. (2021) reported as 634-697</t>
  </si>
  <si>
    <t>Modelled age (Matthews et al., 2015). Ar/Ar date of the Tlo eruption also available (Pappalardo et al. (1999) given as 17400-18400</t>
  </si>
  <si>
    <t xml:space="preserve">There are near identical peak shard concentrations at adjacent 1 cm resolution sample depths with largely homogeneous geochemistry; the position of the isochron is taken as the mid-point of the depths. </t>
  </si>
  <si>
    <t>1265, 1355, 1335, 1370, 1372, 1340, 1380, 1425, 1570</t>
  </si>
  <si>
    <t>Uncalibrated 14C age</t>
  </si>
  <si>
    <t>Uncalibrated 14C uncertainty</t>
  </si>
  <si>
    <t>55, 55, 46, 50, 46, 50, 46, 50, 60, 55, 50</t>
  </si>
  <si>
    <t>Tephra_1</t>
  </si>
  <si>
    <t>Tephra_2</t>
  </si>
  <si>
    <t>Tephra_3</t>
  </si>
  <si>
    <t>Tephra_4</t>
  </si>
  <si>
    <t>Tephra_5</t>
  </si>
  <si>
    <t>Tephra_6</t>
  </si>
  <si>
    <t>Tephra_7</t>
  </si>
  <si>
    <t>Tephra_8</t>
  </si>
  <si>
    <t>Tephra_9</t>
  </si>
  <si>
    <t>Tephra_10</t>
  </si>
  <si>
    <t>Tephra_11</t>
  </si>
  <si>
    <t>Tephra_12</t>
  </si>
  <si>
    <t>Tephra_13</t>
  </si>
  <si>
    <t>Tephra_14</t>
  </si>
  <si>
    <t>Tephra_15</t>
  </si>
  <si>
    <t>Tephra_16</t>
  </si>
  <si>
    <t>Tephra_17</t>
  </si>
  <si>
    <t>Tephra_18</t>
  </si>
  <si>
    <t>Tephra_19</t>
  </si>
  <si>
    <t>Tephra_20</t>
  </si>
  <si>
    <t>Tephra_21</t>
  </si>
  <si>
    <t>Tephra_22</t>
  </si>
  <si>
    <t>Tephra_23</t>
  </si>
  <si>
    <t>Tephra_24</t>
  </si>
  <si>
    <t>Tephra_25</t>
  </si>
  <si>
    <t>Tephra_26</t>
  </si>
  <si>
    <t>Tephra_27</t>
  </si>
  <si>
    <t>Tephra_28</t>
  </si>
  <si>
    <t>If the deposit is recorded in RESET, the RESET deposit ID is standardly used. Otherwise deposit ID is taken from source publication. If no ID is available, deposits were named "Tephra_n"</t>
  </si>
  <si>
    <t>If a tephra deposit contained multiple populations, latitude of the secondary source volcano is given here</t>
  </si>
  <si>
    <t>If a tephra deposit contained multiple populations, longitude of the secondary source volcano is given here</t>
  </si>
  <si>
    <t>When multiple eruptions are given separated by "or", this indicates an uncertain attribution. When numerous eruptions are separated by a comma, this indicates multiple populations present in the tephra sample with more confident attribution</t>
  </si>
  <si>
    <t>Number of Electron Probe Microanalyser data points that confirm the source volcano/ eruption attribution. The dominant population is given first; subsequent populations are then given in parentheses. E.g., deposit t8 from site TEA-C6 has 19(5) consistent EPMA analyses, and source attribution is given "Casale (?), unknown". There were 19 EMPA analyses that could be attributed to the Casale eruption, but certainty is low. There were then 5 analyses from an unknown eruption</t>
  </si>
  <si>
    <t>Concentration of tephra shards. 9999 indicates that tephra is ubiquitous in the sample</t>
  </si>
  <si>
    <t>Minimum age of the tephra given in calibrated years before present (1950)</t>
  </si>
  <si>
    <t>Maximum age of the tephra given in calibrated years before present (1950)</t>
  </si>
  <si>
    <t>Explanation of how the tephra deposit was dated</t>
  </si>
  <si>
    <t>References to the publications in which the deposit or correlated eruption was dated</t>
  </si>
  <si>
    <t>Uncalibrated radiocarbon age</t>
  </si>
  <si>
    <t>Uncertainty of uncalibrated radiocarbon age</t>
  </si>
  <si>
    <t>Absolute age, e.g., U-Th, K/Ar, paleomagnetic age</t>
  </si>
  <si>
    <t>Varve age from Lago Grande di Monticchio</t>
  </si>
  <si>
    <t>Uncertainty of varve age from Lago Grande di Monticchio</t>
  </si>
  <si>
    <t>Uncertainty of the age model</t>
  </si>
  <si>
    <t>Date of eruption if recorded in historical sources</t>
  </si>
  <si>
    <t>Minimum number of unique tephras/ eruptions represented in the sample</t>
  </si>
  <si>
    <t>Maximum number of unique tephras/ eruptions represented in the sample</t>
  </si>
  <si>
    <t>Shortest possible path between source volcano and tephra deposit, i.e., two points on the surface of a sphere. Measured along the arc of a circle whose centre is at the centre of the Earth</t>
  </si>
  <si>
    <t>Initial compass direction (measured in degrees clockwise from true north) travelled from source volcano to reach tephra deposition site along a great-circle path</t>
  </si>
  <si>
    <t>Same as above but for the secondary population in a tephra sample if present</t>
  </si>
  <si>
    <t>Eastwood et al. (1999)</t>
  </si>
  <si>
    <t>No reference given in RESET</t>
  </si>
  <si>
    <t>Vogel et al. (2010)</t>
  </si>
  <si>
    <t>Federman &amp; Carey (1980); Kutterolf et al. (2021)</t>
  </si>
  <si>
    <t>Federman &amp; Carey 1980; Hardiman 1999; Kutterolf et al. (2021)</t>
  </si>
  <si>
    <t>Munno &amp; Petrosino (2004)</t>
  </si>
  <si>
    <t>Munno &amp; Petrosino (2004); Paterne et al. (1986); Paterne et al. (1988)</t>
  </si>
  <si>
    <t>Munno &amp; Petrosino (2004); Paterne et al. (1986); Paterne et al. (1988); Paterne et al. (2008)</t>
  </si>
  <si>
    <t>Munno &amp; Petrosino (2004); Paterne et al. (1988)</t>
  </si>
  <si>
    <t>Munno &amp; Petrosino (2007)</t>
  </si>
  <si>
    <t>Razum et al. (2020); Jahns &amp; Van den Bogaard (1998)</t>
  </si>
  <si>
    <t>Rol&amp;i et al. (1998); &amp;ronico &amp; Cioni (2002); Wulf et al. (2004, 2008)</t>
  </si>
  <si>
    <r>
      <t xml:space="preserve">Abbott, P. M. (2005). </t>
    </r>
    <r>
      <rPr>
        <i/>
        <sz val="12"/>
        <color theme="1"/>
        <rFont val="Calibri"/>
        <family val="2"/>
      </rPr>
      <t>Towards a tephrochronology for a southern Adriatic deep marine sequence</t>
    </r>
    <r>
      <rPr>
        <sz val="12"/>
        <color theme="1"/>
        <rFont val="Calibri"/>
        <family val="2"/>
      </rPr>
      <t>. [MSc Dissertation, Royal Holloway, University of London].</t>
    </r>
  </si>
  <si>
    <r>
      <t xml:space="preserve">Aksu, A. E., Jenner, G., Hiscott, R. N., &amp; Işler, E. B. (2008). Occurrence, stratigraphy and geochemistry of Late Quaternary tephra layers in the Aegean Sea and the Marmara Sea. </t>
    </r>
    <r>
      <rPr>
        <i/>
        <sz val="12"/>
        <color theme="1"/>
        <rFont val="Calibri"/>
        <family val="2"/>
      </rPr>
      <t>Marine Geology</t>
    </r>
    <r>
      <rPr>
        <sz val="12"/>
        <color theme="1"/>
        <rFont val="Calibri"/>
        <family val="2"/>
      </rPr>
      <t xml:space="preserve">, </t>
    </r>
    <r>
      <rPr>
        <i/>
        <sz val="12"/>
        <color theme="1"/>
        <rFont val="Calibri"/>
        <family val="2"/>
      </rPr>
      <t>252</t>
    </r>
    <r>
      <rPr>
        <sz val="12"/>
        <color theme="1"/>
        <rFont val="Calibri"/>
        <family val="2"/>
      </rPr>
      <t>(3–4), 174–192. https://doi.org/10.1016/j.margeo.2008.04.004</t>
    </r>
  </si>
  <si>
    <r>
      <t xml:space="preserve">Albert, P. G., Tomlinson, E. L., Smith, V. C., di Roberto, A., Todman, A., Rosi, M., Marani, M., Muller, W., &amp; Menzies, M. A. (2012). Marine-continental tephra correlations: Volcanic glass geochemistry from the Marsili Basin and the Aeolian Islands, southern Tyrrhenian Sea, Italy. </t>
    </r>
    <r>
      <rPr>
        <i/>
        <sz val="12"/>
        <color theme="1"/>
        <rFont val="Calibri"/>
        <family val="2"/>
      </rPr>
      <t>Journal of Volcanology and Geothermal Research</t>
    </r>
    <r>
      <rPr>
        <sz val="12"/>
        <color theme="1"/>
        <rFont val="Calibri"/>
        <family val="2"/>
      </rPr>
      <t xml:space="preserve">, </t>
    </r>
    <r>
      <rPr>
        <i/>
        <sz val="12"/>
        <color theme="1"/>
        <rFont val="Calibri"/>
        <family val="2"/>
      </rPr>
      <t>229–230</t>
    </r>
    <r>
      <rPr>
        <sz val="12"/>
        <color theme="1"/>
        <rFont val="Calibri"/>
        <family val="2"/>
      </rPr>
      <t>, 74–94. https://doi.org/10.1016/j.jvolgeores.2012.03.009</t>
    </r>
  </si>
  <si>
    <r>
      <t xml:space="preserve">Albert, P. G., Tomlinson, E. L., Smith, V. C., di Traglia, F., Pistolesi, M., Morris, A., Donato, P., de Rosa, R., Sulpizio, R., Keller, J., Rosi, M., &amp; Menzies, M. (2017). Glass geochemistry of pyroclastic deposits from the Aeolian Islands in the last 50 ka: A proximal database for tephrochronology. </t>
    </r>
    <r>
      <rPr>
        <i/>
        <sz val="12"/>
        <color theme="1"/>
        <rFont val="Calibri"/>
        <family val="2"/>
      </rPr>
      <t>Journal of Volcanology and Geothermal Research</t>
    </r>
    <r>
      <rPr>
        <sz val="12"/>
        <color theme="1"/>
        <rFont val="Calibri"/>
        <family val="2"/>
      </rPr>
      <t xml:space="preserve">, </t>
    </r>
    <r>
      <rPr>
        <i/>
        <sz val="12"/>
        <color theme="1"/>
        <rFont val="Calibri"/>
        <family val="2"/>
      </rPr>
      <t>336</t>
    </r>
    <r>
      <rPr>
        <sz val="12"/>
        <color theme="1"/>
        <rFont val="Calibri"/>
        <family val="2"/>
      </rPr>
      <t>, 81–107. https://doi.org/10.1016/j.jvolgeores.2017.02.008</t>
    </r>
  </si>
  <si>
    <r>
      <t xml:space="preserve">Barton, R. N. E., Lane, C. S., Albert, P. G., White, D., Collcutt, S. N., Bouzouggar, A., Ditchfield, P., Farr, L., Oh, A., Ottolini, L., Smith, V. C., van Peer, P., &amp; Kindermann, K. (2015). The role of cryptotephra in refining the chronology of Late Pleistocene human evolution and cultural change in North Africa. </t>
    </r>
    <r>
      <rPr>
        <i/>
        <sz val="12"/>
        <color theme="1"/>
        <rFont val="Calibri"/>
        <family val="2"/>
      </rPr>
      <t>Quaternary Science Reviews</t>
    </r>
    <r>
      <rPr>
        <sz val="12"/>
        <color theme="1"/>
        <rFont val="Calibri"/>
        <family val="2"/>
      </rPr>
      <t xml:space="preserve">, </t>
    </r>
    <r>
      <rPr>
        <i/>
        <sz val="12"/>
        <color theme="1"/>
        <rFont val="Calibri"/>
        <family val="2"/>
      </rPr>
      <t>118</t>
    </r>
    <r>
      <rPr>
        <sz val="12"/>
        <color theme="1"/>
        <rFont val="Calibri"/>
        <family val="2"/>
      </rPr>
      <t>, 151–169. https://doi.org/10.1016/j.quascirev.2014.09.008</t>
    </r>
  </si>
  <si>
    <r>
      <t xml:space="preserve">Bourne, A. J. (2006). </t>
    </r>
    <r>
      <rPr>
        <i/>
        <sz val="12"/>
        <color theme="1"/>
        <rFont val="Calibri"/>
        <family val="2"/>
      </rPr>
      <t>An initial tephrochronology of the Adriatic core PRAD 1-2 for 40 ka BP</t>
    </r>
    <r>
      <rPr>
        <sz val="12"/>
        <color theme="1"/>
        <rFont val="Calibri"/>
        <family val="2"/>
      </rPr>
      <t>. [MSc Dissertation, Royal Holloway, University of London].</t>
    </r>
  </si>
  <si>
    <r>
      <t xml:space="preserve">Bourne, A. J., Lowe, J. J., Trincardi, F., Asioli, A., Blockley, S. P. E., Wulf, S., Matthews, I. P., Piva, A., &amp; Vigliotti, L. (2010). Distal tephra record for the last ca 105,000 years from core PRAD 1-2 in the central Adriatic Sea: Implications for marine tephrostratigraphy. </t>
    </r>
    <r>
      <rPr>
        <i/>
        <sz val="12"/>
        <color theme="1"/>
        <rFont val="Calibri"/>
        <family val="2"/>
      </rPr>
      <t>Quaternary Science Reviews</t>
    </r>
    <r>
      <rPr>
        <sz val="12"/>
        <color theme="1"/>
        <rFont val="Calibri"/>
        <family val="2"/>
      </rPr>
      <t xml:space="preserve">, </t>
    </r>
    <r>
      <rPr>
        <i/>
        <sz val="12"/>
        <color theme="1"/>
        <rFont val="Calibri"/>
        <family val="2"/>
      </rPr>
      <t>29</t>
    </r>
    <r>
      <rPr>
        <sz val="12"/>
        <color theme="1"/>
        <rFont val="Calibri"/>
        <family val="2"/>
      </rPr>
      <t>(23–24), 3079–3094. https://doi.org/10.1016/j.quascirev.2010.07.021</t>
    </r>
  </si>
  <si>
    <r>
      <t xml:space="preserve">Bruins, H. J., Keller, J., Klügel, A., Kisch, H. J., Katra, I., &amp; van der Plicht, J. (2019). Tephra in caves: Distal deposits of the Minoan Santorini eruption and the Campanian super-eruption. </t>
    </r>
    <r>
      <rPr>
        <i/>
        <sz val="12"/>
        <color theme="1"/>
        <rFont val="Calibri"/>
        <family val="2"/>
      </rPr>
      <t>Quaternary International</t>
    </r>
    <r>
      <rPr>
        <sz val="12"/>
        <color theme="1"/>
        <rFont val="Calibri"/>
        <family val="2"/>
      </rPr>
      <t xml:space="preserve">, </t>
    </r>
    <r>
      <rPr>
        <i/>
        <sz val="12"/>
        <color theme="1"/>
        <rFont val="Calibri"/>
        <family val="2"/>
      </rPr>
      <t>499</t>
    </r>
    <r>
      <rPr>
        <sz val="12"/>
        <color theme="1"/>
        <rFont val="Calibri"/>
        <family val="2"/>
      </rPr>
      <t>, 135–147. https://doi.org/10.1016/j.quaint.2018.09.040</t>
    </r>
  </si>
  <si>
    <r>
      <t xml:space="preserve">Çağatay, M. N., Wulf, S., Sancar, Ü., Özmaral, A., Vidal, L., Henry, P., Appelt, O., &amp; Gasperini, L. (2015). The tephra record from the Sea of Marmara for the last ca. 70 ka and its palaeoceanographic implications. </t>
    </r>
    <r>
      <rPr>
        <i/>
        <sz val="12"/>
        <color theme="1"/>
        <rFont val="Calibri"/>
        <family val="2"/>
      </rPr>
      <t>Marine Geology</t>
    </r>
    <r>
      <rPr>
        <sz val="12"/>
        <color theme="1"/>
        <rFont val="Calibri"/>
        <family val="2"/>
      </rPr>
      <t xml:space="preserve">, </t>
    </r>
    <r>
      <rPr>
        <i/>
        <sz val="12"/>
        <color theme="1"/>
        <rFont val="Calibri"/>
        <family val="2"/>
      </rPr>
      <t>361</t>
    </r>
    <r>
      <rPr>
        <sz val="12"/>
        <color theme="1"/>
        <rFont val="Calibri"/>
        <family val="2"/>
      </rPr>
      <t>, 96–110. https://doi.org/10.1016/j.margeo.2015.01.005</t>
    </r>
  </si>
  <si>
    <r>
      <t xml:space="preserve">Calanchi, N., Cattaneo, A., Dinelli, E., Gasparotto, G., &amp; Lucchini, F. (1998). Tephra layers in Late Quaternary sediments of the central Adriatic Sea. </t>
    </r>
    <r>
      <rPr>
        <i/>
        <sz val="12"/>
        <color theme="1"/>
        <rFont val="Calibri"/>
        <family val="2"/>
      </rPr>
      <t>Marine Geology</t>
    </r>
    <r>
      <rPr>
        <sz val="12"/>
        <color theme="1"/>
        <rFont val="Calibri"/>
        <family val="2"/>
      </rPr>
      <t xml:space="preserve">, </t>
    </r>
    <r>
      <rPr>
        <i/>
        <sz val="12"/>
        <color theme="1"/>
        <rFont val="Calibri"/>
        <family val="2"/>
      </rPr>
      <t>149</t>
    </r>
    <r>
      <rPr>
        <sz val="12"/>
        <color theme="1"/>
        <rFont val="Calibri"/>
        <family val="2"/>
      </rPr>
      <t>, 191–209. https://doi.org/10.1016/s0025-3227(98)00030-9</t>
    </r>
  </si>
  <si>
    <r>
      <t xml:space="preserve">Calanchi, N., Dinelli, E., Lucchini, F., &amp; Mordenti, A. (1996). Chemostratigraphy of Late Quaternary sediments from Lake Albano and central Adriatic Sea cores (PALICAS Project). </t>
    </r>
    <r>
      <rPr>
        <i/>
        <sz val="12"/>
        <color theme="1"/>
        <rFont val="Calibri"/>
        <family val="2"/>
      </rPr>
      <t>Memorie Dell’Istituto Italiano Di Idrobiologia</t>
    </r>
    <r>
      <rPr>
        <sz val="12"/>
        <color theme="1"/>
        <rFont val="Calibri"/>
        <family val="2"/>
      </rPr>
      <t xml:space="preserve">, </t>
    </r>
    <r>
      <rPr>
        <i/>
        <sz val="12"/>
        <color theme="1"/>
        <rFont val="Calibri"/>
        <family val="2"/>
      </rPr>
      <t>55</t>
    </r>
    <r>
      <rPr>
        <sz val="12"/>
        <color theme="1"/>
        <rFont val="Calibri"/>
        <family val="2"/>
      </rPr>
      <t>, 247–263.</t>
    </r>
  </si>
  <si>
    <r>
      <t xml:space="preserve">Caron, B., Siani, G., Sulpizio, R., Zanchetta, G., Paterne, M., Santacroce, R., Tema, E., &amp; Zanella, E. (2012). Late Pleistocene to Holocene tephrostratigraphic record from the northern Ionian Sea. </t>
    </r>
    <r>
      <rPr>
        <i/>
        <sz val="12"/>
        <color theme="1"/>
        <rFont val="Calibri"/>
        <family val="2"/>
      </rPr>
      <t>Marine Geology</t>
    </r>
    <r>
      <rPr>
        <sz val="12"/>
        <color theme="1"/>
        <rFont val="Calibri"/>
        <family val="2"/>
      </rPr>
      <t xml:space="preserve">, </t>
    </r>
    <r>
      <rPr>
        <i/>
        <sz val="12"/>
        <color theme="1"/>
        <rFont val="Calibri"/>
        <family val="2"/>
      </rPr>
      <t>311–314</t>
    </r>
    <r>
      <rPr>
        <sz val="12"/>
        <color theme="1"/>
        <rFont val="Calibri"/>
        <family val="2"/>
      </rPr>
      <t>, 41–51. https://doi.org/10.1016/j.margeo.2012.04.001</t>
    </r>
  </si>
  <si>
    <r>
      <t xml:space="preserve">Caron, B., Sulpizio, R., Zanchetta, G., Siani, G., &amp; Santacroce, R. (2010). The Late Holocene to Pleistocene tephrostratigraphic record of Lake Ohrid (Albania). </t>
    </r>
    <r>
      <rPr>
        <i/>
        <sz val="12"/>
        <color theme="1"/>
        <rFont val="Calibri"/>
        <family val="2"/>
      </rPr>
      <t>Comptes Rendus - Geoscience</t>
    </r>
    <r>
      <rPr>
        <sz val="12"/>
        <color theme="1"/>
        <rFont val="Calibri"/>
        <family val="2"/>
      </rPr>
      <t xml:space="preserve">, </t>
    </r>
    <r>
      <rPr>
        <i/>
        <sz val="12"/>
        <color theme="1"/>
        <rFont val="Calibri"/>
        <family val="2"/>
      </rPr>
      <t>342</t>
    </r>
    <r>
      <rPr>
        <sz val="12"/>
        <color theme="1"/>
        <rFont val="Calibri"/>
        <family val="2"/>
      </rPr>
      <t>(6), 453–466. https://doi.org/10.1016/j.crte.2010.03.007</t>
    </r>
  </si>
  <si>
    <r>
      <t xml:space="preserve">Cornell, W., Carey, S., &amp; Sigurdsson, H. (1983). Computer simulation of transport and deposition of the Campanian Y-5. </t>
    </r>
    <r>
      <rPr>
        <i/>
        <sz val="12"/>
        <color theme="1"/>
        <rFont val="Calibri"/>
        <family val="2"/>
      </rPr>
      <t>Journal of Volcanology and Geothermal Research</t>
    </r>
    <r>
      <rPr>
        <sz val="12"/>
        <color theme="1"/>
        <rFont val="Calibri"/>
        <family val="2"/>
      </rPr>
      <t xml:space="preserve">, </t>
    </r>
    <r>
      <rPr>
        <i/>
        <sz val="12"/>
        <color theme="1"/>
        <rFont val="Calibri"/>
        <family val="2"/>
      </rPr>
      <t>17</t>
    </r>
    <r>
      <rPr>
        <sz val="12"/>
        <color theme="1"/>
        <rFont val="Calibri"/>
        <family val="2"/>
      </rPr>
      <t>, 89–109. https://doi.org/10.1016/0377-0273(83)90063-x</t>
    </r>
  </si>
  <si>
    <r>
      <t xml:space="preserve">Crocitti, M., Sulpizio, R., Insinga, D. D., de Rosa, R., Donato, P., Iorio, M., Zanchetta, G., Barca, D., &amp; Lubritto, C. (2019). On ash dispersal from moderately explosive volcanic eruptions: Examples from Holocene and Late Pleistocene eruptions of Italian volcanoes. </t>
    </r>
    <r>
      <rPr>
        <i/>
        <sz val="12"/>
        <color theme="1"/>
        <rFont val="Calibri"/>
        <family val="2"/>
      </rPr>
      <t>Journal of Volcanology and Geothermal Research</t>
    </r>
    <r>
      <rPr>
        <sz val="12"/>
        <color theme="1"/>
        <rFont val="Calibri"/>
        <family val="2"/>
      </rPr>
      <t xml:space="preserve">, </t>
    </r>
    <r>
      <rPr>
        <i/>
        <sz val="12"/>
        <color theme="1"/>
        <rFont val="Calibri"/>
        <family val="2"/>
      </rPr>
      <t>385</t>
    </r>
    <r>
      <rPr>
        <sz val="12"/>
        <color theme="1"/>
        <rFont val="Calibri"/>
        <family val="2"/>
      </rPr>
      <t>, 198–221. https://doi.org/10.1016/j.jvolgeores.2018.07.009</t>
    </r>
  </si>
  <si>
    <r>
      <t xml:space="preserve">Cullen, V. L., Smith, V. C., &amp; Arz, H. W. (2014). The detailed tephrostratigraphy of a core from the south-east Black Sea spanning the last ∼60 ka. </t>
    </r>
    <r>
      <rPr>
        <i/>
        <sz val="12"/>
        <color theme="1"/>
        <rFont val="Calibri"/>
        <family val="2"/>
      </rPr>
      <t>Journal of Quaternary Science</t>
    </r>
    <r>
      <rPr>
        <sz val="12"/>
        <color theme="1"/>
        <rFont val="Calibri"/>
        <family val="2"/>
      </rPr>
      <t xml:space="preserve">, </t>
    </r>
    <r>
      <rPr>
        <i/>
        <sz val="12"/>
        <color theme="1"/>
        <rFont val="Calibri"/>
        <family val="2"/>
      </rPr>
      <t>29</t>
    </r>
    <r>
      <rPr>
        <sz val="12"/>
        <color theme="1"/>
        <rFont val="Calibri"/>
        <family val="2"/>
      </rPr>
      <t>(7), 675–690. https://doi.org/10.1002/jqs.2739</t>
    </r>
  </si>
  <si>
    <r>
      <t xml:space="preserve">Damaschke, M., Sulpizio, R., Zanchetta, G., Wagner, B., Böhm, A., Nowaczyk, N., Rethemeyer, J., &amp; Hilgers, A. (2013). Tephrostratigraphic studies on a sediment core from Lake Prespa in the Balkans. </t>
    </r>
    <r>
      <rPr>
        <i/>
        <sz val="12"/>
        <color theme="1"/>
        <rFont val="Calibri"/>
        <family val="2"/>
      </rPr>
      <t>Climate of the Past</t>
    </r>
    <r>
      <rPr>
        <sz val="12"/>
        <color theme="1"/>
        <rFont val="Calibri"/>
        <family val="2"/>
      </rPr>
      <t xml:space="preserve">, </t>
    </r>
    <r>
      <rPr>
        <i/>
        <sz val="12"/>
        <color theme="1"/>
        <rFont val="Calibri"/>
        <family val="2"/>
      </rPr>
      <t>9</t>
    </r>
    <r>
      <rPr>
        <sz val="12"/>
        <color theme="1"/>
        <rFont val="Calibri"/>
        <family val="2"/>
      </rPr>
      <t>(1), 267–287. https://doi.org/10.5194/cp-9-267-2013</t>
    </r>
  </si>
  <si>
    <r>
      <t xml:space="preserve">de Beaulieu, J. L., Brugiapaglia, E., Joannin, S., Guiter, F., Zanchetta, G., Wulf, S., Peyron, O., Bernardo, L., Didier, J., Stock, A., Rius, D., &amp; Magny, M. (2017). Late Glacial - Holocene abrupt vegetation changes at Lago Trifoglietti in Calabria, southern Italy: The setting of ecosystems in a refugial zone. </t>
    </r>
    <r>
      <rPr>
        <i/>
        <sz val="12"/>
        <color theme="1"/>
        <rFont val="Calibri"/>
        <family val="2"/>
      </rPr>
      <t>Quaternary Science Reviews</t>
    </r>
    <r>
      <rPr>
        <sz val="12"/>
        <color theme="1"/>
        <rFont val="Calibri"/>
        <family val="2"/>
      </rPr>
      <t xml:space="preserve">, </t>
    </r>
    <r>
      <rPr>
        <i/>
        <sz val="12"/>
        <color theme="1"/>
        <rFont val="Calibri"/>
        <family val="2"/>
      </rPr>
      <t>158</t>
    </r>
    <r>
      <rPr>
        <sz val="12"/>
        <color theme="1"/>
        <rFont val="Calibri"/>
        <family val="2"/>
      </rPr>
      <t>, 44–57. https://doi.org/10.1016/j.quascirev.2016.12.013</t>
    </r>
  </si>
  <si>
    <r>
      <t xml:space="preserve">del Carlo, P., Smedile, A., Petrelli, M., &amp; di Roberto, A. (2020). Evidence for an unknown explosive eruption of Mt. Etna volcano (Italy) during the Late Glacial. </t>
    </r>
    <r>
      <rPr>
        <i/>
        <sz val="12"/>
        <color theme="1"/>
        <rFont val="Calibri"/>
        <family val="2"/>
      </rPr>
      <t>Journal of Volcanology and Geothermal Research</t>
    </r>
    <r>
      <rPr>
        <sz val="12"/>
        <color theme="1"/>
        <rFont val="Calibri"/>
        <family val="2"/>
      </rPr>
      <t xml:space="preserve">, </t>
    </r>
    <r>
      <rPr>
        <i/>
        <sz val="12"/>
        <color theme="1"/>
        <rFont val="Calibri"/>
        <family val="2"/>
      </rPr>
      <t>402</t>
    </r>
    <r>
      <rPr>
        <sz val="12"/>
        <color theme="1"/>
        <rFont val="Calibri"/>
        <family val="2"/>
      </rPr>
      <t>, Article 106992. https://doi.org/10.1016/j.jvolgeores.2020.106992</t>
    </r>
  </si>
  <si>
    <r>
      <t xml:space="preserve">di Donato, V., Insinga, D. D., Iorio, M., Molisso, F., Rumolo, P., Cardines, C., &amp; Passaro, S. (2019). The palaeoclimatic and palaeoceanographic history of the Gulf of Taranto (Mediterranean Sea) in the last 15 ky. </t>
    </r>
    <r>
      <rPr>
        <i/>
        <sz val="12"/>
        <color theme="1"/>
        <rFont val="Calibri"/>
        <family val="2"/>
      </rPr>
      <t>Global and Planetary Change</t>
    </r>
    <r>
      <rPr>
        <sz val="12"/>
        <color theme="1"/>
        <rFont val="Calibri"/>
        <family val="2"/>
      </rPr>
      <t xml:space="preserve">, </t>
    </r>
    <r>
      <rPr>
        <i/>
        <sz val="12"/>
        <color theme="1"/>
        <rFont val="Calibri"/>
        <family val="2"/>
      </rPr>
      <t>172</t>
    </r>
    <r>
      <rPr>
        <sz val="12"/>
        <color theme="1"/>
        <rFont val="Calibri"/>
        <family val="2"/>
      </rPr>
      <t>, 278–297. https://doi.org/10.1016/j.gloplacha.2018.10.014</t>
    </r>
  </si>
  <si>
    <r>
      <t xml:space="preserve">Douka, K., Jacobs, Z., Lane, C., Grün, R., Farr, L., Hunt, C., Inglis, R. H., Reynolds, T., Albert, P., Aubert, M., Cullen, V., Hill, E., Kinsley, L., Roberts, R. G., Tomlinson, E. L., Wulf, S., &amp; Barker, G. (2014). The chronostratigraphy of the Haua Fteah cave (Cyrenaica, northeast Libya). </t>
    </r>
    <r>
      <rPr>
        <i/>
        <sz val="12"/>
        <color theme="1"/>
        <rFont val="Calibri"/>
        <family val="2"/>
      </rPr>
      <t>Journal of Human Evolution</t>
    </r>
    <r>
      <rPr>
        <sz val="12"/>
        <color theme="1"/>
        <rFont val="Calibri"/>
        <family val="2"/>
      </rPr>
      <t xml:space="preserve">, </t>
    </r>
    <r>
      <rPr>
        <i/>
        <sz val="12"/>
        <color theme="1"/>
        <rFont val="Calibri"/>
        <family val="2"/>
      </rPr>
      <t>66</t>
    </r>
    <r>
      <rPr>
        <sz val="12"/>
        <color theme="1"/>
        <rFont val="Calibri"/>
        <family val="2"/>
      </rPr>
      <t>(1), 39–63. https://doi.org/10.1016/j.jhevol.2013.10.001</t>
    </r>
  </si>
  <si>
    <r>
      <t xml:space="preserve">Eastwood, W. J., Pearce, N. J. G., Westgate, J. A., Perkins, W. T., Lamb, H. F., &amp; Roberts, N. (1999). Geochemistry of Santorini tephra in lake sediments from southwest Turkey. </t>
    </r>
    <r>
      <rPr>
        <i/>
        <sz val="12"/>
        <color theme="1"/>
        <rFont val="Calibri"/>
        <family val="2"/>
      </rPr>
      <t>Global and Planetary Change</t>
    </r>
    <r>
      <rPr>
        <sz val="12"/>
        <color theme="1"/>
        <rFont val="Calibri"/>
        <family val="2"/>
      </rPr>
      <t xml:space="preserve">, </t>
    </r>
    <r>
      <rPr>
        <i/>
        <sz val="12"/>
        <color theme="1"/>
        <rFont val="Calibri"/>
        <family val="2"/>
      </rPr>
      <t>21</t>
    </r>
    <r>
      <rPr>
        <sz val="12"/>
        <color theme="1"/>
        <rFont val="Calibri"/>
        <family val="2"/>
      </rPr>
      <t>, 17–29. https://doi.org/10.1016/s0277-3791(98)00104-8</t>
    </r>
  </si>
  <si>
    <r>
      <t xml:space="preserve">Eicher, U. (1987). Die spätglazialen sowie die frühpostglazialen Klimaverhältnisse im Bereiche der Alpen: Sauerstoffisotopenkurven kalkhaltiger Sedimente. </t>
    </r>
    <r>
      <rPr>
        <i/>
        <sz val="12"/>
        <color theme="1"/>
        <rFont val="Calibri"/>
        <family val="2"/>
      </rPr>
      <t>Geographica Helvetica</t>
    </r>
    <r>
      <rPr>
        <sz val="12"/>
        <color theme="1"/>
        <rFont val="Calibri"/>
        <family val="2"/>
      </rPr>
      <t xml:space="preserve">, </t>
    </r>
    <r>
      <rPr>
        <i/>
        <sz val="12"/>
        <color theme="1"/>
        <rFont val="Calibri"/>
        <family val="2"/>
      </rPr>
      <t>42</t>
    </r>
    <r>
      <rPr>
        <sz val="12"/>
        <color theme="1"/>
        <rFont val="Calibri"/>
        <family val="2"/>
      </rPr>
      <t>(2), 99–104. https://doi.org/10.5194/gh-42-99-1987</t>
    </r>
  </si>
  <si>
    <r>
      <t xml:space="preserve">Federman, A. N., &amp; Carey, S. N. (1980). Electron microprobe correlation of tephra layers from eastern Mediterranean abyssal sediments and the Island of Santorini. </t>
    </r>
    <r>
      <rPr>
        <i/>
        <sz val="12"/>
        <color theme="1"/>
        <rFont val="Calibri"/>
        <family val="2"/>
      </rPr>
      <t>Quaternary Research</t>
    </r>
    <r>
      <rPr>
        <sz val="12"/>
        <color theme="1"/>
        <rFont val="Calibri"/>
        <family val="2"/>
      </rPr>
      <t xml:space="preserve">, </t>
    </r>
    <r>
      <rPr>
        <i/>
        <sz val="12"/>
        <color theme="1"/>
        <rFont val="Calibri"/>
        <family val="2"/>
      </rPr>
      <t>13</t>
    </r>
    <r>
      <rPr>
        <sz val="12"/>
        <color theme="1"/>
        <rFont val="Calibri"/>
        <family val="2"/>
      </rPr>
      <t>(2), 160–171. https://doi.org/10.1016/0033-5894(80)90026-5</t>
    </r>
  </si>
  <si>
    <r>
      <t xml:space="preserve">Fenn, K., Thomas, D. S. G., Durcan, J. A., Millar, I. L., Veres, D., Piermattei, A., &amp; Lane, C. S. (2021). A tale of two signals: Global and local influences on the Late Pleistocene loess sequences in Bulgarian Lower Danube. </t>
    </r>
    <r>
      <rPr>
        <i/>
        <sz val="12"/>
        <color theme="1"/>
        <rFont val="Calibri"/>
        <family val="2"/>
      </rPr>
      <t>Quaternary Science Reviews</t>
    </r>
    <r>
      <rPr>
        <sz val="12"/>
        <color theme="1"/>
        <rFont val="Calibri"/>
        <family val="2"/>
      </rPr>
      <t xml:space="preserve">, </t>
    </r>
    <r>
      <rPr>
        <i/>
        <sz val="12"/>
        <color theme="1"/>
        <rFont val="Calibri"/>
        <family val="2"/>
      </rPr>
      <t>274</t>
    </r>
    <r>
      <rPr>
        <sz val="12"/>
        <color theme="1"/>
        <rFont val="Calibri"/>
        <family val="2"/>
      </rPr>
      <t>, Article 107264. https://doi.org/10.1016/j.quascirev.2021.107264</t>
    </r>
  </si>
  <si>
    <r>
      <t xml:space="preserve">Finsinger, W., Belis, C., Blockley, S. P. E., Eicher, U., Leuenberger, M., Lotter, A. F., &amp; Ammann, B. (2008). Temporal patterns in lacustrine stable isotopes as evidence for climate change during the Late Glacial in the southern European Alps. </t>
    </r>
    <r>
      <rPr>
        <i/>
        <sz val="12"/>
        <color theme="1"/>
        <rFont val="Calibri"/>
        <family val="2"/>
      </rPr>
      <t>Journal of Paleolimnology</t>
    </r>
    <r>
      <rPr>
        <sz val="12"/>
        <color theme="1"/>
        <rFont val="Calibri"/>
        <family val="2"/>
      </rPr>
      <t xml:space="preserve">, </t>
    </r>
    <r>
      <rPr>
        <i/>
        <sz val="12"/>
        <color theme="1"/>
        <rFont val="Calibri"/>
        <family val="2"/>
      </rPr>
      <t>40</t>
    </r>
    <r>
      <rPr>
        <sz val="12"/>
        <color theme="1"/>
        <rFont val="Calibri"/>
        <family val="2"/>
      </rPr>
      <t>(3), 885–895. https://doi.org/10.1007/s10933-008-9205-7</t>
    </r>
  </si>
  <si>
    <r>
      <t xml:space="preserve">Francke, A., Dosseto, A., Panagiotopoulos, K., Leicher, N., Lacey, J. H., Kyrikou, S., Wagner, B., Zanchetta, G., Kouli, K., &amp; Leng, M. J. (2019). Sediment residence time reveals Holocene shift from climatic to vegetation control on catchment erosion in the Balkans. </t>
    </r>
    <r>
      <rPr>
        <i/>
        <sz val="12"/>
        <color theme="1"/>
        <rFont val="Calibri"/>
        <family val="2"/>
      </rPr>
      <t>Global and Planetary Change</t>
    </r>
    <r>
      <rPr>
        <sz val="12"/>
        <color theme="1"/>
        <rFont val="Calibri"/>
        <family val="2"/>
      </rPr>
      <t xml:space="preserve">, </t>
    </r>
    <r>
      <rPr>
        <i/>
        <sz val="12"/>
        <color theme="1"/>
        <rFont val="Calibri"/>
        <family val="2"/>
      </rPr>
      <t>177</t>
    </r>
    <r>
      <rPr>
        <sz val="12"/>
        <color theme="1"/>
        <rFont val="Calibri"/>
        <family val="2"/>
      </rPr>
      <t>, 186–200. https://doi.org/10.1016/j.gloplacha.2019.04.005</t>
    </r>
  </si>
  <si>
    <r>
      <t xml:space="preserve">Freydier, R., Michard, A., de Lange, G., &amp; Thomson, J. (2001). Nd isotopic compositions of eastern Mediterranean sediments: Tracers of the Nile influence during sapropel S1 formation? </t>
    </r>
    <r>
      <rPr>
        <i/>
        <sz val="12"/>
        <color theme="1"/>
        <rFont val="Calibri"/>
        <family val="2"/>
      </rPr>
      <t>Marine Geology</t>
    </r>
    <r>
      <rPr>
        <sz val="12"/>
        <color theme="1"/>
        <rFont val="Calibri"/>
        <family val="2"/>
      </rPr>
      <t xml:space="preserve">, </t>
    </r>
    <r>
      <rPr>
        <i/>
        <sz val="12"/>
        <color theme="1"/>
        <rFont val="Calibri"/>
        <family val="2"/>
      </rPr>
      <t>177</t>
    </r>
    <r>
      <rPr>
        <sz val="12"/>
        <color theme="1"/>
        <rFont val="Calibri"/>
        <family val="2"/>
      </rPr>
      <t>, 45–62. https://doi.org/10.1016/s0025-3227(01)00123-2</t>
    </r>
  </si>
  <si>
    <r>
      <t xml:space="preserve">Giaccio, B., Niespolo, E. M., Pereira, A., Nomade, S., Renne, P. R., Albert, P. G., Arienzo, I., Regattieri, E., Wagner, B., Zanchetta, G., Gaeta, M., Galli, P., Mannella, G., Peronace, E., Sottili, G., Florindo, F., Leicher, N., Marra, F., &amp; Tomlinson, E. L. (2017). First integrated tephrochronological record for the last ∼190 kyr from the Fucino Quaternary lacustrine succession, central Italy. </t>
    </r>
    <r>
      <rPr>
        <i/>
        <sz val="12"/>
        <color theme="1"/>
        <rFont val="Calibri"/>
        <family val="2"/>
      </rPr>
      <t>Quaternary Science Reviews</t>
    </r>
    <r>
      <rPr>
        <sz val="12"/>
        <color theme="1"/>
        <rFont val="Calibri"/>
        <family val="2"/>
      </rPr>
      <t xml:space="preserve">, </t>
    </r>
    <r>
      <rPr>
        <i/>
        <sz val="12"/>
        <color theme="1"/>
        <rFont val="Calibri"/>
        <family val="2"/>
      </rPr>
      <t>158</t>
    </r>
    <r>
      <rPr>
        <sz val="12"/>
        <color theme="1"/>
        <rFont val="Calibri"/>
        <family val="2"/>
      </rPr>
      <t>, 211–234. https://doi.org/10.1016/j.quascirev.2017.01.004</t>
    </r>
  </si>
  <si>
    <r>
      <t xml:space="preserve">Guichard, F., Carey, S., Arthur, M. A., Sigurdsson, H., &amp; Arnold, M. (1993). Tephra from the Minoan eruption of Santorini in sediments of the Black Sea. </t>
    </r>
    <r>
      <rPr>
        <i/>
        <sz val="12"/>
        <color theme="1"/>
        <rFont val="Calibri"/>
        <family val="2"/>
      </rPr>
      <t>Nature</t>
    </r>
    <r>
      <rPr>
        <sz val="12"/>
        <color theme="1"/>
        <rFont val="Calibri"/>
        <family val="2"/>
      </rPr>
      <t xml:space="preserve">, </t>
    </r>
    <r>
      <rPr>
        <i/>
        <sz val="12"/>
        <color theme="1"/>
        <rFont val="Calibri"/>
        <family val="2"/>
      </rPr>
      <t>363</t>
    </r>
    <r>
      <rPr>
        <sz val="12"/>
        <color theme="1"/>
        <rFont val="Calibri"/>
        <family val="2"/>
      </rPr>
      <t>(6430), 610–612. https://doi.org/10.1038/363610a0</t>
    </r>
  </si>
  <si>
    <r>
      <t xml:space="preserve">Guilizzoni, P., Lami, A., Marchetto, A., Jones, V., Manca, M., &amp; Bettinetti, R. (2002). Palaeoproductivity and environmental changes during the Holocene in central Italy as recorded in two crater lakes (Albano and Nemi). </t>
    </r>
    <r>
      <rPr>
        <i/>
        <sz val="12"/>
        <color theme="1"/>
        <rFont val="Calibri"/>
        <family val="2"/>
      </rPr>
      <t>Quaternary International</t>
    </r>
    <r>
      <rPr>
        <sz val="12"/>
        <color theme="1"/>
        <rFont val="Calibri"/>
        <family val="2"/>
      </rPr>
      <t xml:space="preserve">, </t>
    </r>
    <r>
      <rPr>
        <i/>
        <sz val="12"/>
        <color theme="1"/>
        <rFont val="Calibri"/>
        <family val="2"/>
      </rPr>
      <t>88</t>
    </r>
    <r>
      <rPr>
        <sz val="12"/>
        <color theme="1"/>
        <rFont val="Calibri"/>
        <family val="2"/>
      </rPr>
      <t>, 57–68. https://doi.org/10.1016/s1040-6182(01)00073-8</t>
    </r>
  </si>
  <si>
    <r>
      <t xml:space="preserve">Hardiman, J. C. (1999). Deep sea tephra from Nisyros Island, eastern Aegean Sea, Greece. In C. R. Firth &amp; W. J. McGuire (Eds.), </t>
    </r>
    <r>
      <rPr>
        <i/>
        <sz val="12"/>
        <color theme="1"/>
        <rFont val="Calibri"/>
        <family val="2"/>
      </rPr>
      <t>Volcanoes in the Quaternary</t>
    </r>
    <r>
      <rPr>
        <sz val="12"/>
        <color theme="1"/>
        <rFont val="Calibri"/>
        <family val="2"/>
      </rPr>
      <t xml:space="preserve"> (pp. 69–88). The Geological Society of London.</t>
    </r>
  </si>
  <si>
    <r>
      <t xml:space="preserve">Insinga, D. D., Petrosino, P., Alberico, I., de Lange, G. J., Lubritto, C., Molisso, F., Sacchi, M., Sulpizio, R., Wu, J., &amp; Lirer, F. (2020). The Late Holocene tephra record of the central Mediterranean Sea: Mapping occurrences and new potential isochrons for the 4.4–2.0 ka time interval. </t>
    </r>
    <r>
      <rPr>
        <i/>
        <sz val="12"/>
        <color theme="1"/>
        <rFont val="Calibri"/>
        <family val="2"/>
      </rPr>
      <t>Journal of Quaternary Science</t>
    </r>
    <r>
      <rPr>
        <sz val="12"/>
        <color theme="1"/>
        <rFont val="Calibri"/>
        <family val="2"/>
      </rPr>
      <t xml:space="preserve">, </t>
    </r>
    <r>
      <rPr>
        <i/>
        <sz val="12"/>
        <color theme="1"/>
        <rFont val="Calibri"/>
        <family val="2"/>
      </rPr>
      <t>35</t>
    </r>
    <r>
      <rPr>
        <sz val="12"/>
        <color theme="1"/>
        <rFont val="Calibri"/>
        <family val="2"/>
      </rPr>
      <t>(1–2), 213–231. https://doi.org/10.1002/jqs.3154</t>
    </r>
  </si>
  <si>
    <r>
      <t xml:space="preserve">Insinga, D. D., Tamburrino, S., Lirer, F., Vezzoli, L., Barra, M., de Lange, G. J., Tiepolo, M., Vallefuoco, M., Mazzola, S., &amp; Sprovieri, M. (2014). Tephrochronology of the astronomically-tuned KC01B deep-sea core, Ionian Sea: Insights into the explosive activity of the central Mediterranean area during the last 200 ka. </t>
    </r>
    <r>
      <rPr>
        <i/>
        <sz val="12"/>
        <color theme="1"/>
        <rFont val="Calibri"/>
        <family val="2"/>
      </rPr>
      <t>Quaternary Science Reviews</t>
    </r>
    <r>
      <rPr>
        <sz val="12"/>
        <color theme="1"/>
        <rFont val="Calibri"/>
        <family val="2"/>
      </rPr>
      <t xml:space="preserve">, </t>
    </r>
    <r>
      <rPr>
        <i/>
        <sz val="12"/>
        <color theme="1"/>
        <rFont val="Calibri"/>
        <family val="2"/>
      </rPr>
      <t>85</t>
    </r>
    <r>
      <rPr>
        <sz val="12"/>
        <color theme="1"/>
        <rFont val="Calibri"/>
        <family val="2"/>
      </rPr>
      <t>, 63–84. https://doi.org/10.1016/j.quascirev.2013.11.019</t>
    </r>
  </si>
  <si>
    <r>
      <t xml:space="preserve">Jahns, S., &amp; van den Bogaard, C. (1998). New palynological and tephrostratigraphical investigations of two salt lagoons on the island of Mljet, south Dalmatia, Croatia. </t>
    </r>
    <r>
      <rPr>
        <i/>
        <sz val="12"/>
        <color theme="1"/>
        <rFont val="Calibri"/>
        <family val="2"/>
      </rPr>
      <t>Vegetation History and Archaeobotany</t>
    </r>
    <r>
      <rPr>
        <sz val="12"/>
        <color theme="1"/>
        <rFont val="Calibri"/>
        <family val="2"/>
      </rPr>
      <t xml:space="preserve">, </t>
    </r>
    <r>
      <rPr>
        <i/>
        <sz val="12"/>
        <color theme="1"/>
        <rFont val="Calibri"/>
        <family val="2"/>
      </rPr>
      <t>7</t>
    </r>
    <r>
      <rPr>
        <sz val="12"/>
        <color theme="1"/>
        <rFont val="Calibri"/>
        <family val="2"/>
      </rPr>
      <t>, 219–234. https://doi.org/10.1007/bf01146195</t>
    </r>
  </si>
  <si>
    <r>
      <t xml:space="preserve">Jalali, B., Sicre, M. A., Klein, V., Schmidt, S., Maselli, V., Lirer, F., Bassetti, M. A., Toucanne, S., Jorry, S. J., Insinga, D. D., Petrosino, P., &amp; Châles, F. (2018). Deltaic and coastal sediments as recorders of Mediterranean regional climate and human impact over the past three millennia. </t>
    </r>
    <r>
      <rPr>
        <i/>
        <sz val="12"/>
        <color theme="1"/>
        <rFont val="Calibri"/>
        <family val="2"/>
      </rPr>
      <t>Paleoceanography and Paleoclimatology</t>
    </r>
    <r>
      <rPr>
        <sz val="12"/>
        <color theme="1"/>
        <rFont val="Calibri"/>
        <family val="2"/>
      </rPr>
      <t xml:space="preserve">, </t>
    </r>
    <r>
      <rPr>
        <i/>
        <sz val="12"/>
        <color theme="1"/>
        <rFont val="Calibri"/>
        <family val="2"/>
      </rPr>
      <t>33</t>
    </r>
    <r>
      <rPr>
        <sz val="12"/>
        <color theme="1"/>
        <rFont val="Calibri"/>
        <family val="2"/>
      </rPr>
      <t>(6), 579–593. https://doi.org/10.1029/2017PA003298</t>
    </r>
  </si>
  <si>
    <r>
      <t xml:space="preserve">Kearney, R., Albert, P. G., Staff, R. A., Pál, I., Veres, D., Magyari, E., &amp; Bronk Ramsey, C. (2018). Ultra-distal fine ash occurrences of the Icelandic Askja-S Plinian eruption deposits in southern Carpathian lakes: New age constraints on a continental scale tephrostratigraphic marker. </t>
    </r>
    <r>
      <rPr>
        <i/>
        <sz val="12"/>
        <color theme="1"/>
        <rFont val="Calibri"/>
        <family val="2"/>
      </rPr>
      <t>Quaternary Science Reviews</t>
    </r>
    <r>
      <rPr>
        <sz val="12"/>
        <color theme="1"/>
        <rFont val="Calibri"/>
        <family val="2"/>
      </rPr>
      <t xml:space="preserve">, </t>
    </r>
    <r>
      <rPr>
        <i/>
        <sz val="12"/>
        <color theme="1"/>
        <rFont val="Calibri"/>
        <family val="2"/>
      </rPr>
      <t>188</t>
    </r>
    <r>
      <rPr>
        <sz val="12"/>
        <color theme="1"/>
        <rFont val="Calibri"/>
        <family val="2"/>
      </rPr>
      <t>, 174–182. https://doi.org/10.1016/j.quascirev.2018.03.035</t>
    </r>
  </si>
  <si>
    <r>
      <t xml:space="preserve">Keller, J., Ryan, W. B. F., Ninkovich, D., &amp; Altherr, R. (1978). Explosive volcanic activity in the Mediterranean over the past 200,000 yr as recorded in deep-sea sediments. </t>
    </r>
    <r>
      <rPr>
        <i/>
        <sz val="12"/>
        <color theme="1"/>
        <rFont val="Calibri"/>
        <family val="2"/>
      </rPr>
      <t>Geological Society of America Bulletin</t>
    </r>
    <r>
      <rPr>
        <sz val="12"/>
        <color theme="1"/>
        <rFont val="Calibri"/>
        <family val="2"/>
      </rPr>
      <t xml:space="preserve">, </t>
    </r>
    <r>
      <rPr>
        <i/>
        <sz val="12"/>
        <color theme="1"/>
        <rFont val="Calibri"/>
        <family val="2"/>
      </rPr>
      <t>89</t>
    </r>
    <r>
      <rPr>
        <sz val="12"/>
        <color theme="1"/>
        <rFont val="Calibri"/>
        <family val="2"/>
      </rPr>
      <t>, 591–604. https://doi.org/10.1130/0016-7606(1978)89&lt;591:evaitm&gt;2.0.co;2</t>
    </r>
  </si>
  <si>
    <r>
      <t xml:space="preserve">Köng, E., Zaragosi, S., Schneider, J. L., Garlan, T., Bachèlery, P., San Pedro, L., Seibert, C., &amp; Racine, C. (2016). Untangling the complex origin of turbidite activity on the Calabrian Arc (Ionian Sea) over the last 60 ka. </t>
    </r>
    <r>
      <rPr>
        <i/>
        <sz val="12"/>
        <color theme="1"/>
        <rFont val="Calibri"/>
        <family val="2"/>
      </rPr>
      <t>Marine Geology</t>
    </r>
    <r>
      <rPr>
        <sz val="12"/>
        <color theme="1"/>
        <rFont val="Calibri"/>
        <family val="2"/>
      </rPr>
      <t xml:space="preserve">, </t>
    </r>
    <r>
      <rPr>
        <i/>
        <sz val="12"/>
        <color theme="1"/>
        <rFont val="Calibri"/>
        <family val="2"/>
      </rPr>
      <t>373</t>
    </r>
    <r>
      <rPr>
        <sz val="12"/>
        <color theme="1"/>
        <rFont val="Calibri"/>
        <family val="2"/>
      </rPr>
      <t>, 11–25. https://doi.org/10.1016/j.margeo.2015.12.010</t>
    </r>
  </si>
  <si>
    <r>
      <t xml:space="preserve">Kutterolf, S., Freundt, A., Druitt, T. H., McPhie, J., Nomikou, P., Pank, K., Schindlbeck-Belo, J. C., Hansteen, T. H., &amp; Allen, S. R. (2021). The medial offshore record of explosive volcanism along the central to eastern Aegean volcanic arc: 2. Tephra ages and volumes, eruption magnitudes and marine sedimentation rate variations. </t>
    </r>
    <r>
      <rPr>
        <i/>
        <sz val="12"/>
        <color theme="1"/>
        <rFont val="Calibri"/>
        <family val="2"/>
      </rPr>
      <t>Geochemistry, Geophysics, Geosystems</t>
    </r>
    <r>
      <rPr>
        <sz val="12"/>
        <color theme="1"/>
        <rFont val="Calibri"/>
        <family val="2"/>
      </rPr>
      <t xml:space="preserve">, </t>
    </r>
    <r>
      <rPr>
        <i/>
        <sz val="12"/>
        <color theme="1"/>
        <rFont val="Calibri"/>
        <family val="2"/>
      </rPr>
      <t>22</t>
    </r>
    <r>
      <rPr>
        <sz val="12"/>
        <color theme="1"/>
        <rFont val="Calibri"/>
        <family val="2"/>
      </rPr>
      <t>(12), Article e2021GC010011. https://doi.org/10.1029/2021GC010011</t>
    </r>
  </si>
  <si>
    <r>
      <t xml:space="preserve">Kwiecien, O., Arz, H. W., Lamy, F., Wulf, S., Bahr, A., Röhl, U., &amp; Haug, G. H. (2008). Estimated reservoir ages of the Black Sea since the Last Glacial. </t>
    </r>
    <r>
      <rPr>
        <i/>
        <sz val="12"/>
        <color theme="1"/>
        <rFont val="Calibri"/>
        <family val="2"/>
      </rPr>
      <t>Radiocarbon</t>
    </r>
    <r>
      <rPr>
        <sz val="12"/>
        <color theme="1"/>
        <rFont val="Calibri"/>
        <family val="2"/>
      </rPr>
      <t xml:space="preserve">, </t>
    </r>
    <r>
      <rPr>
        <i/>
        <sz val="12"/>
        <color theme="1"/>
        <rFont val="Calibri"/>
        <family val="2"/>
      </rPr>
      <t>50</t>
    </r>
    <r>
      <rPr>
        <sz val="12"/>
        <color theme="1"/>
        <rFont val="Calibri"/>
        <family val="2"/>
      </rPr>
      <t>(1), 99–118. https://doi.org/10.1017/S0033822200043393</t>
    </r>
  </si>
  <si>
    <r>
      <t xml:space="preserve">Lamy, F., Arz, H. W., Bond, G. C., Bahr, A., &amp; Pätzold, J. (2006). Multicentennial-scale hydrological changes in the Black Sea and northern Red Sea during the Holocene and the Arctic/North Atlantic oscillation. </t>
    </r>
    <r>
      <rPr>
        <i/>
        <sz val="12"/>
        <color theme="1"/>
        <rFont val="Calibri"/>
        <family val="2"/>
      </rPr>
      <t>Paleoceanography</t>
    </r>
    <r>
      <rPr>
        <sz val="12"/>
        <color theme="1"/>
        <rFont val="Calibri"/>
        <family val="2"/>
      </rPr>
      <t xml:space="preserve">, </t>
    </r>
    <r>
      <rPr>
        <i/>
        <sz val="12"/>
        <color theme="1"/>
        <rFont val="Calibri"/>
        <family val="2"/>
      </rPr>
      <t>21</t>
    </r>
    <r>
      <rPr>
        <sz val="12"/>
        <color theme="1"/>
        <rFont val="Calibri"/>
        <family val="2"/>
      </rPr>
      <t>, Article PA1008. https://doi.org/10.1029/2005PA001184</t>
    </r>
  </si>
  <si>
    <r>
      <t xml:space="preserve">Lane, C. S., Andrič, M., Cullen, V. L., &amp; Blockley, S. P. E. (2011). The occurrence of distal Icelandic and Italian tephra in the Late Glacial of Lake Bled, Slovenia. </t>
    </r>
    <r>
      <rPr>
        <i/>
        <sz val="12"/>
        <color theme="1"/>
        <rFont val="Calibri"/>
        <family val="2"/>
      </rPr>
      <t>Quaternary Science Reviews</t>
    </r>
    <r>
      <rPr>
        <sz val="12"/>
        <color theme="1"/>
        <rFont val="Calibri"/>
        <family val="2"/>
      </rPr>
      <t xml:space="preserve">, </t>
    </r>
    <r>
      <rPr>
        <i/>
        <sz val="12"/>
        <color theme="1"/>
        <rFont val="Calibri"/>
        <family val="2"/>
      </rPr>
      <t>30</t>
    </r>
    <r>
      <rPr>
        <sz val="12"/>
        <color theme="1"/>
        <rFont val="Calibri"/>
        <family val="2"/>
      </rPr>
      <t>(9–10), 1013–1018. https://doi.org/10.1016/j.quascirev.2011.02.014</t>
    </r>
  </si>
  <si>
    <r>
      <t xml:space="preserve">Lane, C. S., Blockley, S. P. E., Lotter, A. F., Finsinger, W., Filippi, M. L., &amp; Matthews, I. P. (2012). A regional tephrostratigraphic framework for central and southern European climate archives during the Last Glacial to Interglacial transition: Comparisons north and south of the Alps. </t>
    </r>
    <r>
      <rPr>
        <i/>
        <sz val="12"/>
        <color theme="1"/>
        <rFont val="Calibri"/>
        <family val="2"/>
      </rPr>
      <t>Quaternary Science Reviews</t>
    </r>
    <r>
      <rPr>
        <sz val="12"/>
        <color theme="1"/>
        <rFont val="Calibri"/>
        <family val="2"/>
      </rPr>
      <t xml:space="preserve">, </t>
    </r>
    <r>
      <rPr>
        <i/>
        <sz val="12"/>
        <color theme="1"/>
        <rFont val="Calibri"/>
        <family val="2"/>
      </rPr>
      <t>36</t>
    </r>
    <r>
      <rPr>
        <sz val="12"/>
        <color theme="1"/>
        <rFont val="Calibri"/>
        <family val="2"/>
      </rPr>
      <t>, 50–58. https://doi.org/10.1016/j.quascirev.2010.10.015</t>
    </r>
  </si>
  <si>
    <r>
      <t xml:space="preserve">Leicher, N., Zanchetta, G., Sulpizio, R., Giaccio, B., Wagner, B., Nomade, S., Francke, A., &amp; del Carlo, P. (2016). First tephrostratigraphic results of the DEEP site record from Lake Ohrid (Macedonia and Albania). </t>
    </r>
    <r>
      <rPr>
        <i/>
        <sz val="12"/>
        <color theme="1"/>
        <rFont val="Calibri"/>
        <family val="2"/>
      </rPr>
      <t>Biogeosciences</t>
    </r>
    <r>
      <rPr>
        <sz val="12"/>
        <color theme="1"/>
        <rFont val="Calibri"/>
        <family val="2"/>
      </rPr>
      <t xml:space="preserve">, </t>
    </r>
    <r>
      <rPr>
        <i/>
        <sz val="12"/>
        <color theme="1"/>
        <rFont val="Calibri"/>
        <family val="2"/>
      </rPr>
      <t>13</t>
    </r>
    <r>
      <rPr>
        <sz val="12"/>
        <color theme="1"/>
        <rFont val="Calibri"/>
        <family val="2"/>
      </rPr>
      <t>(7), 2151–2178. https://doi.org/10.5194/bg-13-2151-2016</t>
    </r>
  </si>
  <si>
    <r>
      <t xml:space="preserve">Lézine, A. M., von Grafenstein, U., Andersen, N., Belmecheri, S., Bordon, A., Caron, B., Cazet, J. P., Erlenkeuser, H., Fouache, E., Grenier, C., Huntsman-Mapila, P., Hureau-Mazaudier, D., Manelli, D., Mazaud, A., Robert, C., Sulpizio, R., Tiercelin, J. J., Zanchetta, G., &amp; Zeqollari, Z. (2010). Lake Ohrid, Albania, provides an exceptional multi-proxy record of environmental changes during the last glacial-interglacial cycle. </t>
    </r>
    <r>
      <rPr>
        <i/>
        <sz val="12"/>
        <color theme="1"/>
        <rFont val="Calibri"/>
        <family val="2"/>
      </rPr>
      <t>Palaeogeography, Palaeoclimatology, Palaeoecology</t>
    </r>
    <r>
      <rPr>
        <sz val="12"/>
        <color theme="1"/>
        <rFont val="Calibri"/>
        <family val="2"/>
      </rPr>
      <t xml:space="preserve">, </t>
    </r>
    <r>
      <rPr>
        <i/>
        <sz val="12"/>
        <color theme="1"/>
        <rFont val="Calibri"/>
        <family val="2"/>
      </rPr>
      <t>287</t>
    </r>
    <r>
      <rPr>
        <sz val="12"/>
        <color theme="1"/>
        <rFont val="Calibri"/>
        <family val="2"/>
      </rPr>
      <t>(1–4), 116–127. https://doi.org/10.1016/j.palaeo.2010.01.016</t>
    </r>
  </si>
  <si>
    <r>
      <t xml:space="preserve">Lirer, F., Sprovieri, M., Ferraro, L., Vallefuoco, M., Capotondi, L., Cascella, A., Petrosino, P., Insinga, D. D., Pelosi, N., Tamburrino, S., &amp; Lubritto, C. (2013). Integrated stratigraphy for the Late Quaternary in the eastern Tyrrhenian Sea. </t>
    </r>
    <r>
      <rPr>
        <i/>
        <sz val="12"/>
        <color theme="1"/>
        <rFont val="Calibri"/>
        <family val="2"/>
      </rPr>
      <t>Quaternary International</t>
    </r>
    <r>
      <rPr>
        <sz val="12"/>
        <color theme="1"/>
        <rFont val="Calibri"/>
        <family val="2"/>
      </rPr>
      <t xml:space="preserve">, </t>
    </r>
    <r>
      <rPr>
        <i/>
        <sz val="12"/>
        <color theme="1"/>
        <rFont val="Calibri"/>
        <family val="2"/>
      </rPr>
      <t>292</t>
    </r>
    <r>
      <rPr>
        <sz val="12"/>
        <color theme="1"/>
        <rFont val="Calibri"/>
        <family val="2"/>
      </rPr>
      <t>, 71–85. https://doi.org/10.1016/j.quaint.2012.08.2055</t>
    </r>
  </si>
  <si>
    <r>
      <t xml:space="preserve">Lowe, J. J., Blockley, S., Trincardi, F., Asioli, A., Cattaneo, A., Matthews, I. P., Pollard, M., &amp; Wulf, S. (2007). Age modelling of Late Quaternary marine sequences in the Adriatic: Towards improved precision and accuracy using volcanic event stratigraphy. </t>
    </r>
    <r>
      <rPr>
        <i/>
        <sz val="12"/>
        <color theme="1"/>
        <rFont val="Calibri"/>
        <family val="2"/>
      </rPr>
      <t>Continental Shelf Research</t>
    </r>
    <r>
      <rPr>
        <sz val="12"/>
        <color theme="1"/>
        <rFont val="Calibri"/>
        <family val="2"/>
      </rPr>
      <t xml:space="preserve">, </t>
    </r>
    <r>
      <rPr>
        <i/>
        <sz val="12"/>
        <color theme="1"/>
        <rFont val="Calibri"/>
        <family val="2"/>
      </rPr>
      <t>27</t>
    </r>
    <r>
      <rPr>
        <sz val="12"/>
        <color theme="1"/>
        <rFont val="Calibri"/>
        <family val="2"/>
      </rPr>
      <t>(3–4), 560–582. https://doi.org/10.1016/j.csr.2005.12.017</t>
    </r>
  </si>
  <si>
    <r>
      <t xml:space="preserve">Lucchini, F., Dinelli, E., &amp; Calanchi, N. (2003). Chemostratigraphy of Lago Albano sediments (central Italy): Geochemical evidence of palaeoenvironmental changes in Late Quaternary. </t>
    </r>
    <r>
      <rPr>
        <i/>
        <sz val="12"/>
        <color theme="1"/>
        <rFont val="Calibri"/>
        <family val="2"/>
      </rPr>
      <t>Journal of Paleolimnology</t>
    </r>
    <r>
      <rPr>
        <sz val="12"/>
        <color theme="1"/>
        <rFont val="Calibri"/>
        <family val="2"/>
      </rPr>
      <t xml:space="preserve">, </t>
    </r>
    <r>
      <rPr>
        <i/>
        <sz val="12"/>
        <color theme="1"/>
        <rFont val="Calibri"/>
        <family val="2"/>
      </rPr>
      <t>29</t>
    </r>
    <r>
      <rPr>
        <sz val="12"/>
        <color theme="1"/>
        <rFont val="Calibri"/>
        <family val="2"/>
      </rPr>
      <t>, 109–122. https://doi.org/10.1023/A:1022828724529</t>
    </r>
  </si>
  <si>
    <r>
      <t xml:space="preserve">Magny, M., de Beaulieu, J. L., Drescher-Schneider, R., Vannière, B., Walter-Simonnet, A. V., Millet, L., Bossuet, G., &amp; Peyron, O. (2006). Climatic oscillations in central Italy during the Last Glacial-Holocene transition: The record from Lake Accesa. </t>
    </r>
    <r>
      <rPr>
        <i/>
        <sz val="12"/>
        <color theme="1"/>
        <rFont val="Calibri"/>
        <family val="2"/>
      </rPr>
      <t>Journal of Quaternary Science</t>
    </r>
    <r>
      <rPr>
        <sz val="12"/>
        <color theme="1"/>
        <rFont val="Calibri"/>
        <family val="2"/>
      </rPr>
      <t xml:space="preserve">, </t>
    </r>
    <r>
      <rPr>
        <i/>
        <sz val="12"/>
        <color theme="1"/>
        <rFont val="Calibri"/>
        <family val="2"/>
      </rPr>
      <t>21</t>
    </r>
    <r>
      <rPr>
        <sz val="12"/>
        <color theme="1"/>
        <rFont val="Calibri"/>
        <family val="2"/>
      </rPr>
      <t>(4), 311–320. https://doi.org/10.1002/jqs.999</t>
    </r>
  </si>
  <si>
    <r>
      <t xml:space="preserve">Mannella, G., Giaccio, B., Zanchetta, G., Regattieri, E., Niespolo, E. M., Pereira, A., Renne, P. R., Nomade, S., Leicher, N., Perchiazzi, N., &amp; Wagner, B. (2019). Palaeoenvironmental and palaeohydrological variability of mountain areas in the central Mediterranean region: A 190 ka-long chronicle from the independently dated Fucino palaeolake record (central Italy). </t>
    </r>
    <r>
      <rPr>
        <i/>
        <sz val="12"/>
        <color theme="1"/>
        <rFont val="Calibri"/>
        <family val="2"/>
      </rPr>
      <t>Quaternary Science Reviews</t>
    </r>
    <r>
      <rPr>
        <sz val="12"/>
        <color theme="1"/>
        <rFont val="Calibri"/>
        <family val="2"/>
      </rPr>
      <t xml:space="preserve">, </t>
    </r>
    <r>
      <rPr>
        <i/>
        <sz val="12"/>
        <color theme="1"/>
        <rFont val="Calibri"/>
        <family val="2"/>
      </rPr>
      <t>210</t>
    </r>
    <r>
      <rPr>
        <sz val="12"/>
        <color theme="1"/>
        <rFont val="Calibri"/>
        <family val="2"/>
      </rPr>
      <t>, 190–210. https://doi.org/10.1016/j.quascirev.2019.02.032</t>
    </r>
  </si>
  <si>
    <r>
      <t xml:space="preserve">Margari, V., Pyle, D. M., Bryant, C., &amp; Gibbard, P. L. (2007). Mediterranean tephra stratigraphy revisited: Results from a long terrestrial sequence on Lesvos Island, Greece. </t>
    </r>
    <r>
      <rPr>
        <i/>
        <sz val="12"/>
        <color theme="1"/>
        <rFont val="Calibri"/>
        <family val="2"/>
      </rPr>
      <t>Journal of Volcanology and Geothermal Research</t>
    </r>
    <r>
      <rPr>
        <sz val="12"/>
        <color theme="1"/>
        <rFont val="Calibri"/>
        <family val="2"/>
      </rPr>
      <t xml:space="preserve">, </t>
    </r>
    <r>
      <rPr>
        <i/>
        <sz val="12"/>
        <color theme="1"/>
        <rFont val="Calibri"/>
        <family val="2"/>
      </rPr>
      <t>163</t>
    </r>
    <r>
      <rPr>
        <sz val="12"/>
        <color theme="1"/>
        <rFont val="Calibri"/>
        <family val="2"/>
      </rPr>
      <t>(1–4), 34–54. https://doi.org/10.1016/j.jvolgeores.2007.02.002</t>
    </r>
  </si>
  <si>
    <r>
      <t xml:space="preserve">Matthews, I. P., Trincardi, F., Lowe, J. J., Bourne, A. J., MacLeod, A., Abbott, P. M., Andersen, N., Asioli, A., Blockley, S. P. E., Lane, C. S., Oh, Y. A., Satow, C., Staff, R. A., &amp; Wulf, S. (2015). Developing a robust tephrochronological framework for Late Quaternary marine records in the southern Adriatic Sea: New data from core station SA03-11. </t>
    </r>
    <r>
      <rPr>
        <i/>
        <sz val="12"/>
        <color theme="1"/>
        <rFont val="Calibri"/>
        <family val="2"/>
      </rPr>
      <t>Quaternary Science Reviews</t>
    </r>
    <r>
      <rPr>
        <sz val="12"/>
        <color theme="1"/>
        <rFont val="Calibri"/>
        <family val="2"/>
      </rPr>
      <t xml:space="preserve">, </t>
    </r>
    <r>
      <rPr>
        <i/>
        <sz val="12"/>
        <color theme="1"/>
        <rFont val="Calibri"/>
        <family val="2"/>
      </rPr>
      <t>118</t>
    </r>
    <r>
      <rPr>
        <sz val="12"/>
        <color theme="1"/>
        <rFont val="Calibri"/>
        <family val="2"/>
      </rPr>
      <t>, 84–104. https://doi.org/10.1016/j.quascirev.2014.10.009</t>
    </r>
  </si>
  <si>
    <r>
      <t xml:space="preserve">McGuire, A. M., Lane, C. S., Roucoux, K. H., Albert, P. G., &amp; Kearney, R. (2022). The dating and correlation of an eastern Mediterranean lake sediment sequence: A 46–4 ka tephrostratigraphy for Ioannina (NW Greece). </t>
    </r>
    <r>
      <rPr>
        <i/>
        <sz val="12"/>
        <color theme="1"/>
        <rFont val="Calibri"/>
        <family val="2"/>
      </rPr>
      <t>Journal of Quaternary Science</t>
    </r>
    <r>
      <rPr>
        <sz val="12"/>
        <color theme="1"/>
        <rFont val="Calibri"/>
        <family val="2"/>
      </rPr>
      <t xml:space="preserve">, </t>
    </r>
    <r>
      <rPr>
        <i/>
        <sz val="12"/>
        <color theme="1"/>
        <rFont val="Calibri"/>
        <family val="2"/>
      </rPr>
      <t>37</t>
    </r>
    <r>
      <rPr>
        <sz val="12"/>
        <color theme="1"/>
        <rFont val="Calibri"/>
        <family val="2"/>
      </rPr>
      <t>(8), 1313–1331. https://doi.org/10.1002/jqs.3452</t>
    </r>
  </si>
  <si>
    <r>
      <t xml:space="preserve">Menke, V., Kutterolf, S., Sievers, C., Schindlbeck, J. C., &amp; Schmiedl, G. (2018). Cryptotephra from Lipari Volcano in the eastern Gulf of Taranto (Italy) as a time marker for paleoclimatic studies. </t>
    </r>
    <r>
      <rPr>
        <i/>
        <sz val="12"/>
        <color theme="1"/>
        <rFont val="Calibri"/>
        <family val="2"/>
      </rPr>
      <t>Quaternary Research</t>
    </r>
    <r>
      <rPr>
        <sz val="12"/>
        <color theme="1"/>
        <rFont val="Calibri"/>
        <family val="2"/>
      </rPr>
      <t xml:space="preserve">, </t>
    </r>
    <r>
      <rPr>
        <i/>
        <sz val="12"/>
        <color theme="1"/>
        <rFont val="Calibri"/>
        <family val="2"/>
      </rPr>
      <t>89</t>
    </r>
    <r>
      <rPr>
        <sz val="12"/>
        <color theme="1"/>
        <rFont val="Calibri"/>
        <family val="2"/>
      </rPr>
      <t>(2), 520–532. https://doi.org/10.1017/qua.2018.2</t>
    </r>
  </si>
  <si>
    <r>
      <t xml:space="preserve">Müller, U. C., Pross, J., Tzedakis, P. C., Gamble, C., Kotthoff, U., Schmiedl, G., Wulf, S., &amp; Christanis, K. (2011). The role of climate in the spread of modern humans into Europe. </t>
    </r>
    <r>
      <rPr>
        <i/>
        <sz val="12"/>
        <color theme="1"/>
        <rFont val="Calibri"/>
        <family val="2"/>
      </rPr>
      <t>Quaternary Science Reviews</t>
    </r>
    <r>
      <rPr>
        <sz val="12"/>
        <color theme="1"/>
        <rFont val="Calibri"/>
        <family val="2"/>
      </rPr>
      <t xml:space="preserve">, </t>
    </r>
    <r>
      <rPr>
        <i/>
        <sz val="12"/>
        <color theme="1"/>
        <rFont val="Calibri"/>
        <family val="2"/>
      </rPr>
      <t>30</t>
    </r>
    <r>
      <rPr>
        <sz val="12"/>
        <color theme="1"/>
        <rFont val="Calibri"/>
        <family val="2"/>
      </rPr>
      <t>(3–4), 273–279. https://doi.org/10.1016/j.quascirev.2010.11.016</t>
    </r>
  </si>
  <si>
    <r>
      <t xml:space="preserve">Munno, R., &amp; Petrosino, P. (2004). New constraints on the occurrence of Y-3 Upper Pleistocene tephra layer in the Tyrrhenian Sea. </t>
    </r>
    <r>
      <rPr>
        <i/>
        <sz val="12"/>
        <color theme="1"/>
        <rFont val="Calibri"/>
        <family val="2"/>
      </rPr>
      <t>Il Quaternario</t>
    </r>
    <r>
      <rPr>
        <sz val="12"/>
        <color theme="1"/>
        <rFont val="Calibri"/>
        <family val="2"/>
      </rPr>
      <t xml:space="preserve">, </t>
    </r>
    <r>
      <rPr>
        <i/>
        <sz val="12"/>
        <color theme="1"/>
        <rFont val="Calibri"/>
        <family val="2"/>
      </rPr>
      <t>17</t>
    </r>
    <r>
      <rPr>
        <sz val="12"/>
        <color theme="1"/>
        <rFont val="Calibri"/>
        <family val="2"/>
      </rPr>
      <t>, 11–20.</t>
    </r>
  </si>
  <si>
    <r>
      <t xml:space="preserve">Munno, R., &amp; Petrosino, P. (2007). The Late Quaternary tephrostratigraphical record of the San Gregorio Magno basin (southern Italy). </t>
    </r>
    <r>
      <rPr>
        <i/>
        <sz val="12"/>
        <color theme="1"/>
        <rFont val="Calibri"/>
        <family val="2"/>
      </rPr>
      <t>Journal of Quaternary Science</t>
    </r>
    <r>
      <rPr>
        <sz val="12"/>
        <color theme="1"/>
        <rFont val="Calibri"/>
        <family val="2"/>
      </rPr>
      <t xml:space="preserve">, </t>
    </r>
    <r>
      <rPr>
        <i/>
        <sz val="12"/>
        <color theme="1"/>
        <rFont val="Calibri"/>
        <family val="2"/>
      </rPr>
      <t>22</t>
    </r>
    <r>
      <rPr>
        <sz val="12"/>
        <color theme="1"/>
        <rFont val="Calibri"/>
        <family val="2"/>
      </rPr>
      <t>(3), 247–266. https://doi.org/10.1002/jqs.1025</t>
    </r>
  </si>
  <si>
    <r>
      <t xml:space="preserve">Narcisi, B. (2001). Palaeoenvironmental and palaeoclimatic implications of the Late Quaternary sediment record of Vico volcanic lake (central Italy). </t>
    </r>
    <r>
      <rPr>
        <i/>
        <sz val="12"/>
        <color theme="1"/>
        <rFont val="Calibri"/>
        <family val="2"/>
      </rPr>
      <t>Journal of Quaternary Science</t>
    </r>
    <r>
      <rPr>
        <sz val="12"/>
        <color theme="1"/>
        <rFont val="Calibri"/>
        <family val="2"/>
      </rPr>
      <t xml:space="preserve">, </t>
    </r>
    <r>
      <rPr>
        <i/>
        <sz val="12"/>
        <color theme="1"/>
        <rFont val="Calibri"/>
        <family val="2"/>
      </rPr>
      <t>16</t>
    </r>
    <r>
      <rPr>
        <sz val="12"/>
        <color theme="1"/>
        <rFont val="Calibri"/>
        <family val="2"/>
      </rPr>
      <t>(3), 245–255. https://doi.org/10.1002/jqs.594</t>
    </r>
  </si>
  <si>
    <r>
      <t xml:space="preserve">Neugebauer, I., Müller, D., Schwab, M. J., Blockley, S., Lane, C. S., Wulf, S., Appelt, O., &amp; Brauer, A. (2021). Cryptotephras in the Late Glacial ICDP Dead Sea sediment record and their implications for chronology. </t>
    </r>
    <r>
      <rPr>
        <i/>
        <sz val="12"/>
        <color theme="1"/>
        <rFont val="Calibri"/>
        <family val="2"/>
      </rPr>
      <t>Boreas</t>
    </r>
    <r>
      <rPr>
        <sz val="12"/>
        <color theme="1"/>
        <rFont val="Calibri"/>
        <family val="2"/>
      </rPr>
      <t xml:space="preserve">, </t>
    </r>
    <r>
      <rPr>
        <i/>
        <sz val="12"/>
        <color theme="1"/>
        <rFont val="Calibri"/>
        <family val="2"/>
      </rPr>
      <t>50</t>
    </r>
    <r>
      <rPr>
        <sz val="12"/>
        <color theme="1"/>
        <rFont val="Calibri"/>
        <family val="2"/>
      </rPr>
      <t>(3), 844–861. https://doi.org/10.1111/bor.12516</t>
    </r>
  </si>
  <si>
    <r>
      <t xml:space="preserve">Neugebauer, I., Wulf, S., Schwab, M. J., Serb, J., Plessen, B., Appelt, O., &amp; Brauer, A. (2017). Implications of S1 tephra findings in Dead Sea and Tayma palaeolake sediments for marine reservoir age estimation and palaeoclimate synchronisation. </t>
    </r>
    <r>
      <rPr>
        <i/>
        <sz val="12"/>
        <color theme="1"/>
        <rFont val="Calibri"/>
        <family val="2"/>
      </rPr>
      <t>Quaternary Science Reviews</t>
    </r>
    <r>
      <rPr>
        <sz val="12"/>
        <color theme="1"/>
        <rFont val="Calibri"/>
        <family val="2"/>
      </rPr>
      <t xml:space="preserve">, </t>
    </r>
    <r>
      <rPr>
        <i/>
        <sz val="12"/>
        <color theme="1"/>
        <rFont val="Calibri"/>
        <family val="2"/>
      </rPr>
      <t>170</t>
    </r>
    <r>
      <rPr>
        <sz val="12"/>
        <color theme="1"/>
        <rFont val="Calibri"/>
        <family val="2"/>
      </rPr>
      <t>, 269–275. https://doi.org/10.1016/j.quascirev.2017.06.020</t>
    </r>
  </si>
  <si>
    <r>
      <t xml:space="preserve">Parisi, E., Erba, E., &amp; Cita, M. B. (1987). Stratigraphy and sedimentation in the anoxic Bannock Basin (eastern Mediterranean). </t>
    </r>
    <r>
      <rPr>
        <i/>
        <sz val="12"/>
        <color theme="1"/>
        <rFont val="Calibri"/>
        <family val="2"/>
      </rPr>
      <t>Marine Geology</t>
    </r>
    <r>
      <rPr>
        <sz val="12"/>
        <color theme="1"/>
        <rFont val="Calibri"/>
        <family val="2"/>
      </rPr>
      <t xml:space="preserve">, </t>
    </r>
    <r>
      <rPr>
        <i/>
        <sz val="12"/>
        <color theme="1"/>
        <rFont val="Calibri"/>
        <family val="2"/>
      </rPr>
      <t>75</t>
    </r>
    <r>
      <rPr>
        <sz val="12"/>
        <color theme="1"/>
        <rFont val="Calibri"/>
        <family val="2"/>
      </rPr>
      <t>, 93–117. https://doi.org/10.1016/0025-3227(87)90098-3</t>
    </r>
  </si>
  <si>
    <r>
      <t xml:space="preserve">Paterne, M., Guichard, F., &amp; Labeyrie, J. (1988). Explosive activity of the south Italian volcanoes during the past 80,000 years as determined by marine tephrochronology. </t>
    </r>
    <r>
      <rPr>
        <i/>
        <sz val="12"/>
        <color theme="1"/>
        <rFont val="Calibri"/>
        <family val="2"/>
      </rPr>
      <t>Journal of Volcanology and Geothermal Research</t>
    </r>
    <r>
      <rPr>
        <sz val="12"/>
        <color theme="1"/>
        <rFont val="Calibri"/>
        <family val="2"/>
      </rPr>
      <t xml:space="preserve">, </t>
    </r>
    <r>
      <rPr>
        <i/>
        <sz val="12"/>
        <color theme="1"/>
        <rFont val="Calibri"/>
        <family val="2"/>
      </rPr>
      <t>34</t>
    </r>
    <r>
      <rPr>
        <sz val="12"/>
        <color theme="1"/>
        <rFont val="Calibri"/>
        <family val="2"/>
      </rPr>
      <t>, 153–172. https://doi.org/10.1016/0377-0273(88)90030-3</t>
    </r>
  </si>
  <si>
    <r>
      <t xml:space="preserve">Paterne, M., Guichard, F., Duplessy, J. C., Siani, G., Sulpizio, R., &amp; Labeyrie, J. (2008). A 90,000–200,000 yrs marine tephra record of Italian volcanic activity in the central Mediterranean Sea. </t>
    </r>
    <r>
      <rPr>
        <i/>
        <sz val="12"/>
        <color theme="1"/>
        <rFont val="Calibri"/>
        <family val="2"/>
      </rPr>
      <t>Journal of Volcanology and Geothermal Research</t>
    </r>
    <r>
      <rPr>
        <sz val="12"/>
        <color theme="1"/>
        <rFont val="Calibri"/>
        <family val="2"/>
      </rPr>
      <t xml:space="preserve">, </t>
    </r>
    <r>
      <rPr>
        <i/>
        <sz val="12"/>
        <color theme="1"/>
        <rFont val="Calibri"/>
        <family val="2"/>
      </rPr>
      <t>177</t>
    </r>
    <r>
      <rPr>
        <sz val="12"/>
        <color theme="1"/>
        <rFont val="Calibri"/>
        <family val="2"/>
      </rPr>
      <t>(1), 187–196. https://doi.org/10.1016/j.jvolgeores.2007.11.028</t>
    </r>
  </si>
  <si>
    <r>
      <t xml:space="preserve">Paterne, M., Guichard, F., Labeyrie, J., Gillot, P. Y., &amp; Duplessy, J. C. (1986). Tyrrhenian Sea tephrochronology of the oxygen isotope record for the past 60,000 years. </t>
    </r>
    <r>
      <rPr>
        <i/>
        <sz val="12"/>
        <color theme="1"/>
        <rFont val="Calibri"/>
        <family val="2"/>
      </rPr>
      <t>Marine Geology</t>
    </r>
    <r>
      <rPr>
        <sz val="12"/>
        <color theme="1"/>
        <rFont val="Calibri"/>
        <family val="2"/>
      </rPr>
      <t xml:space="preserve">, </t>
    </r>
    <r>
      <rPr>
        <i/>
        <sz val="12"/>
        <color theme="1"/>
        <rFont val="Calibri"/>
        <family val="2"/>
      </rPr>
      <t>72</t>
    </r>
    <r>
      <rPr>
        <sz val="12"/>
        <color theme="1"/>
        <rFont val="Calibri"/>
        <family val="2"/>
      </rPr>
      <t>, 259–285. https://doi.org/10.1016/0025-3227(86)90123-4</t>
    </r>
  </si>
  <si>
    <r>
      <t xml:space="preserve">Piva, A., Asioli, A., Trincardi, F., Schneider, R. R., &amp; Vigliotti, L. (2008). Late-Holocene climate variability in the Adriatic Sea (central Mediterranean). </t>
    </r>
    <r>
      <rPr>
        <i/>
        <sz val="12"/>
        <color theme="1"/>
        <rFont val="Calibri"/>
        <family val="2"/>
      </rPr>
      <t>The Holocene</t>
    </r>
    <r>
      <rPr>
        <sz val="12"/>
        <color theme="1"/>
        <rFont val="Calibri"/>
        <family val="2"/>
      </rPr>
      <t xml:space="preserve">, </t>
    </r>
    <r>
      <rPr>
        <i/>
        <sz val="12"/>
        <color theme="1"/>
        <rFont val="Calibri"/>
        <family val="2"/>
      </rPr>
      <t>18</t>
    </r>
    <r>
      <rPr>
        <sz val="12"/>
        <color theme="1"/>
        <rFont val="Calibri"/>
        <family val="2"/>
      </rPr>
      <t>(1), 153–167. https://doi.org/10.1177/0959683607085606</t>
    </r>
  </si>
  <si>
    <r>
      <t xml:space="preserve">Radić, D. (2007). Neapolitan Yellow Tuff (NYT) from the Pleistocene sediments in Vela Spila on the island of Korčula: A valuable chronostratigraphic marker of the transition from the Palaeolithic to the Mesolithic. </t>
    </r>
    <r>
      <rPr>
        <i/>
        <sz val="12"/>
        <color theme="1"/>
        <rFont val="Calibri"/>
        <family val="2"/>
      </rPr>
      <t>Opvscvla Archaeologica</t>
    </r>
    <r>
      <rPr>
        <sz val="12"/>
        <color theme="1"/>
        <rFont val="Calibri"/>
        <family val="2"/>
      </rPr>
      <t xml:space="preserve">, </t>
    </r>
    <r>
      <rPr>
        <i/>
        <sz val="12"/>
        <color theme="1"/>
        <rFont val="Calibri"/>
        <family val="2"/>
      </rPr>
      <t>31</t>
    </r>
    <r>
      <rPr>
        <sz val="12"/>
        <color theme="1"/>
        <rFont val="Calibri"/>
        <family val="2"/>
      </rPr>
      <t>(1), 7–26.</t>
    </r>
  </si>
  <si>
    <r>
      <t xml:space="preserve">Ramrath, A., Zolitschka, B., Wulf, S., &amp; Negendank, F. W. (1999). Late Pleistocene climatic variations as recorded in two Italian maar lakes (Lago di Mezzano, Lago Grande di Monticchio). </t>
    </r>
    <r>
      <rPr>
        <i/>
        <sz val="12"/>
        <color theme="1"/>
        <rFont val="Calibri"/>
        <family val="2"/>
      </rPr>
      <t>Quaternary Science Reviews</t>
    </r>
    <r>
      <rPr>
        <sz val="12"/>
        <color theme="1"/>
        <rFont val="Calibri"/>
        <family val="2"/>
      </rPr>
      <t xml:space="preserve">, </t>
    </r>
    <r>
      <rPr>
        <i/>
        <sz val="12"/>
        <color theme="1"/>
        <rFont val="Calibri"/>
        <family val="2"/>
      </rPr>
      <t>18</t>
    </r>
    <r>
      <rPr>
        <sz val="12"/>
        <color theme="1"/>
        <rFont val="Calibri"/>
        <family val="2"/>
      </rPr>
      <t>, 977–992. https://doi.org/10.1016/S0277-3791(99)00009-8</t>
    </r>
  </si>
  <si>
    <r>
      <t xml:space="preserve">Razum, I., Hasan, O., Brunović, D., Schulz, H., Ilijanić, N., Beg Paklar, G., Ramisch, A., Giaccio, B., Šparica Miko, M., Monaco, L., &amp; Miko, S. (2024). Influence of changing water mass circulation on detrital component and carbon burial of Late Pleistocene and Holocene sediments in the eastern-central Mid-Adriatic deep. </t>
    </r>
    <r>
      <rPr>
        <i/>
        <sz val="12"/>
        <color theme="1"/>
        <rFont val="Calibri"/>
        <family val="2"/>
      </rPr>
      <t>Marine and Petroleum Geology</t>
    </r>
    <r>
      <rPr>
        <sz val="12"/>
        <color theme="1"/>
        <rFont val="Calibri"/>
        <family val="2"/>
      </rPr>
      <t xml:space="preserve">, </t>
    </r>
    <r>
      <rPr>
        <i/>
        <sz val="12"/>
        <color theme="1"/>
        <rFont val="Calibri"/>
        <family val="2"/>
      </rPr>
      <t>167</t>
    </r>
    <r>
      <rPr>
        <sz val="12"/>
        <color theme="1"/>
        <rFont val="Calibri"/>
        <family val="2"/>
      </rPr>
      <t>, Article 106985. https://doi.org/10.1016/j.marpetgeo.2024.106985</t>
    </r>
  </si>
  <si>
    <r>
      <t xml:space="preserve">Razum, I., Miko, S., Ilijanić, N., Petrelli, M., Röhl, U., Hasan, O., &amp; Giaccio, B. (2020). Holocene tephra record of Lake Veliko jezero, Croatia: Implications for the central Mediterranean tephrostratigraphy and sea level rise. </t>
    </r>
    <r>
      <rPr>
        <i/>
        <sz val="12"/>
        <color theme="1"/>
        <rFont val="Calibri"/>
        <family val="2"/>
      </rPr>
      <t>Boreas</t>
    </r>
    <r>
      <rPr>
        <sz val="12"/>
        <color theme="1"/>
        <rFont val="Calibri"/>
        <family val="2"/>
      </rPr>
      <t xml:space="preserve">, </t>
    </r>
    <r>
      <rPr>
        <i/>
        <sz val="12"/>
        <color theme="1"/>
        <rFont val="Calibri"/>
        <family val="2"/>
      </rPr>
      <t>49</t>
    </r>
    <r>
      <rPr>
        <sz val="12"/>
        <color theme="1"/>
        <rFont val="Calibri"/>
        <family val="2"/>
      </rPr>
      <t>(3), 653–673. https://doi.org/10.1111/bor.12446</t>
    </r>
  </si>
  <si>
    <r>
      <t xml:space="preserve">Roeser, P. A., Franz, S. O., Litt, T., Ülgen, U. B., Hilgers, A., Wulf, S., Wennrich, V., Akçer Ön, S., Viehberg, F. A., Çağatay, M. N., &amp; Melles, M. (2012). Lithostratigraphic and geochronological framework for the paleoenvironmental reconstruction of the last ∼36 ka cal BP from a sediment record from Lake Iznik (NW Turkey). </t>
    </r>
    <r>
      <rPr>
        <i/>
        <sz val="12"/>
        <color theme="1"/>
        <rFont val="Calibri"/>
        <family val="2"/>
      </rPr>
      <t>Quaternary International</t>
    </r>
    <r>
      <rPr>
        <sz val="12"/>
        <color theme="1"/>
        <rFont val="Calibri"/>
        <family val="2"/>
      </rPr>
      <t xml:space="preserve">, </t>
    </r>
    <r>
      <rPr>
        <i/>
        <sz val="12"/>
        <color theme="1"/>
        <rFont val="Calibri"/>
        <family val="2"/>
      </rPr>
      <t>274</t>
    </r>
    <r>
      <rPr>
        <sz val="12"/>
        <color theme="1"/>
        <rFont val="Calibri"/>
        <family val="2"/>
      </rPr>
      <t>, 73–87. https://doi.org/10.1016/j.quaint.2012.06.006</t>
    </r>
  </si>
  <si>
    <r>
      <t xml:space="preserve">Sacchi, M., Molisso, F., Violante, C., Esposito, E., Insinga, D., Lubritto, C., Porfido, S., &amp; Tóth, T. (2009). Insights into flood-dominated fan-deltas: Very high-resolution seismic examples off the Amalfi cliffed coasts, eastern Tyrrhenian Sea. </t>
    </r>
    <r>
      <rPr>
        <i/>
        <sz val="12"/>
        <color theme="1"/>
        <rFont val="Calibri"/>
        <family val="2"/>
      </rPr>
      <t>Geological Society Special Publication</t>
    </r>
    <r>
      <rPr>
        <sz val="12"/>
        <color theme="1"/>
        <rFont val="Calibri"/>
        <family val="2"/>
      </rPr>
      <t xml:space="preserve">, </t>
    </r>
    <r>
      <rPr>
        <i/>
        <sz val="12"/>
        <color theme="1"/>
        <rFont val="Calibri"/>
        <family val="2"/>
      </rPr>
      <t>322</t>
    </r>
    <r>
      <rPr>
        <sz val="12"/>
        <color theme="1"/>
        <rFont val="Calibri"/>
        <family val="2"/>
      </rPr>
      <t>, 33–71. https://doi.org/10.1144/SP322.2</t>
    </r>
  </si>
  <si>
    <r>
      <t xml:space="preserve">Satow, C. (2008). </t>
    </r>
    <r>
      <rPr>
        <i/>
        <sz val="12"/>
        <color theme="1"/>
        <rFont val="Calibri"/>
        <family val="2"/>
      </rPr>
      <t>The Early Holocene tephrochronology of a south Adriatic marine core</t>
    </r>
    <r>
      <rPr>
        <sz val="12"/>
        <color theme="1"/>
        <rFont val="Calibri"/>
        <family val="2"/>
      </rPr>
      <t>. [MSc Dissertation, Royal Holloway, University of London].</t>
    </r>
  </si>
  <si>
    <r>
      <t xml:space="preserve">Satow, C., Tomlinson, E. L., Grant, K. M., Albert, P. G., Smith, V. C., Manning, C. J., Ottolini, L., Wulf, S., Rohling, E. J., Lowe, J. J., Blockley, S. P. E., &amp; Menzies, M. A. (2015). A new contribution to the Late Quaternary tephrostratigraphy of the Mediterranean: Aegean Sea core LC21. </t>
    </r>
    <r>
      <rPr>
        <i/>
        <sz val="12"/>
        <color theme="1"/>
        <rFont val="Calibri"/>
        <family val="2"/>
      </rPr>
      <t>Quaternary Science Reviews</t>
    </r>
    <r>
      <rPr>
        <sz val="12"/>
        <color theme="1"/>
        <rFont val="Calibri"/>
        <family val="2"/>
      </rPr>
      <t xml:space="preserve">, </t>
    </r>
    <r>
      <rPr>
        <i/>
        <sz val="12"/>
        <color theme="1"/>
        <rFont val="Calibri"/>
        <family val="2"/>
      </rPr>
      <t>117</t>
    </r>
    <r>
      <rPr>
        <sz val="12"/>
        <color theme="1"/>
        <rFont val="Calibri"/>
        <family val="2"/>
      </rPr>
      <t>, 96–112. https://doi.org/10.1016/j.quascirev.2015.04.005</t>
    </r>
  </si>
  <si>
    <r>
      <t xml:space="preserve">Schmidt, R., van den Bogaard, C., Merkt, J., &amp; Müller, J. (2002). A new Late Glacial chronostratigraphic tephra marker for the south-eastern Alps: The Neapolitan Yellow Tuff (NYT) in Längsee (Austria) in the context of a regional biostratigraphy and palaeoclimate. </t>
    </r>
    <r>
      <rPr>
        <i/>
        <sz val="12"/>
        <color theme="1"/>
        <rFont val="Calibri"/>
        <family val="2"/>
      </rPr>
      <t>Quaternary International</t>
    </r>
    <r>
      <rPr>
        <sz val="12"/>
        <color theme="1"/>
        <rFont val="Calibri"/>
        <family val="2"/>
      </rPr>
      <t xml:space="preserve">, </t>
    </r>
    <r>
      <rPr>
        <i/>
        <sz val="12"/>
        <color theme="1"/>
        <rFont val="Calibri"/>
        <family val="2"/>
      </rPr>
      <t>88</t>
    </r>
    <r>
      <rPr>
        <sz val="12"/>
        <color theme="1"/>
        <rFont val="Calibri"/>
        <family val="2"/>
      </rPr>
      <t>, 45–56. https://doi.org/10.1016/s1040-6182(01)00072-6</t>
    </r>
  </si>
  <si>
    <r>
      <t xml:space="preserve">Seymour, K. S., Christanis, K., Bouzinos, A., Papazisimou, S., Papatheodorou, G., Moran, E., &amp; Dénès, G. (2004). Tephrostratigraphy and tephrochronology in the Philippi peat basin, Macedonia, northern Hellas (Greece). </t>
    </r>
    <r>
      <rPr>
        <i/>
        <sz val="12"/>
        <color theme="1"/>
        <rFont val="Calibri"/>
        <family val="2"/>
      </rPr>
      <t>Quaternary International</t>
    </r>
    <r>
      <rPr>
        <sz val="12"/>
        <color theme="1"/>
        <rFont val="Calibri"/>
        <family val="2"/>
      </rPr>
      <t xml:space="preserve">, </t>
    </r>
    <r>
      <rPr>
        <i/>
        <sz val="12"/>
        <color theme="1"/>
        <rFont val="Calibri"/>
        <family val="2"/>
      </rPr>
      <t>121</t>
    </r>
    <r>
      <rPr>
        <sz val="12"/>
        <color theme="1"/>
        <rFont val="Calibri"/>
        <family val="2"/>
      </rPr>
      <t>(1), 53–65. https://doi.org/10.1016/j.quaint.2004.01.023</t>
    </r>
  </si>
  <si>
    <r>
      <t xml:space="preserve">Siani, G., Sulpizio, R., Paterne, M., &amp; Sbrana, A. (2004). Tephrostratigraphy study for the last 18,000 14C years in a deep-sea sediment sequence for the south Adriatic. </t>
    </r>
    <r>
      <rPr>
        <i/>
        <sz val="12"/>
        <color theme="1"/>
        <rFont val="Calibri"/>
        <family val="2"/>
      </rPr>
      <t>Quaternary Science Reviews</t>
    </r>
    <r>
      <rPr>
        <sz val="12"/>
        <color theme="1"/>
        <rFont val="Calibri"/>
        <family val="2"/>
      </rPr>
      <t xml:space="preserve">, </t>
    </r>
    <r>
      <rPr>
        <i/>
        <sz val="12"/>
        <color theme="1"/>
        <rFont val="Calibri"/>
        <family val="2"/>
      </rPr>
      <t>23</t>
    </r>
    <r>
      <rPr>
        <sz val="12"/>
        <color theme="1"/>
        <rFont val="Calibri"/>
        <family val="2"/>
      </rPr>
      <t>(23–24), 2485–2500. https://doi.org/10.1016/j.quascirev.2004.06.004</t>
    </r>
  </si>
  <si>
    <r>
      <t xml:space="preserve">Sullivan, D. G. (1988). The discovery of Santorini Minoan tephra in western Turkey. </t>
    </r>
    <r>
      <rPr>
        <i/>
        <sz val="12"/>
        <color theme="1"/>
        <rFont val="Calibri"/>
        <family val="2"/>
      </rPr>
      <t>Nature</t>
    </r>
    <r>
      <rPr>
        <sz val="12"/>
        <color theme="1"/>
        <rFont val="Calibri"/>
        <family val="2"/>
      </rPr>
      <t xml:space="preserve">, </t>
    </r>
    <r>
      <rPr>
        <i/>
        <sz val="12"/>
        <color theme="1"/>
        <rFont val="Calibri"/>
        <family val="2"/>
      </rPr>
      <t>333</t>
    </r>
    <r>
      <rPr>
        <sz val="12"/>
        <color theme="1"/>
        <rFont val="Calibri"/>
        <family val="2"/>
      </rPr>
      <t>(6173), 552–554. https://doi.org/10.1038/333552a0</t>
    </r>
  </si>
  <si>
    <r>
      <t xml:space="preserve">Sulpizio, R., Alçiçek, M. C., Zanchetta, G., &amp; Solari, L. (2013). Recognition of the Minoan tephra in the Acigöl basin, western Turkey: Implications for inter-archive correlations and fine ash dispersal. </t>
    </r>
    <r>
      <rPr>
        <i/>
        <sz val="12"/>
        <color theme="1"/>
        <rFont val="Calibri"/>
        <family val="2"/>
      </rPr>
      <t>Journal of Quaternary Science</t>
    </r>
    <r>
      <rPr>
        <sz val="12"/>
        <color theme="1"/>
        <rFont val="Calibri"/>
        <family val="2"/>
      </rPr>
      <t xml:space="preserve">, </t>
    </r>
    <r>
      <rPr>
        <i/>
        <sz val="12"/>
        <color theme="1"/>
        <rFont val="Calibri"/>
        <family val="2"/>
      </rPr>
      <t>28</t>
    </r>
    <r>
      <rPr>
        <sz val="12"/>
        <color theme="1"/>
        <rFont val="Calibri"/>
        <family val="2"/>
      </rPr>
      <t>(4), 329–335. https://doi.org/10.1002/jqs.2630</t>
    </r>
  </si>
  <si>
    <r>
      <t xml:space="preserve">Sulpizio, R., Zanchetta, G., D’Orazio, M., Vogel, H., &amp; Wagner, B. (2010). Tephrostratigraphy and tephrochronology of lakes Ohrid and Prespa, Balkans. </t>
    </r>
    <r>
      <rPr>
        <i/>
        <sz val="12"/>
        <color theme="1"/>
        <rFont val="Calibri"/>
        <family val="2"/>
      </rPr>
      <t>Biogeosciences</t>
    </r>
    <r>
      <rPr>
        <sz val="12"/>
        <color theme="1"/>
        <rFont val="Calibri"/>
        <family val="2"/>
      </rPr>
      <t xml:space="preserve">, </t>
    </r>
    <r>
      <rPr>
        <i/>
        <sz val="12"/>
        <color theme="1"/>
        <rFont val="Calibri"/>
        <family val="2"/>
      </rPr>
      <t>7</t>
    </r>
    <r>
      <rPr>
        <sz val="12"/>
        <color theme="1"/>
        <rFont val="Calibri"/>
        <family val="2"/>
      </rPr>
      <t>(10), 3273–3288. https://doi.org/10.5194/bg-7-3273-2010</t>
    </r>
  </si>
  <si>
    <r>
      <t xml:space="preserve">Thunell, R., Federman, A., Sparks, S., &amp; Williams, D. (1979). The age, origin, and volcanological significance of the Y-5 ash layer in the Mediterranean. </t>
    </r>
    <r>
      <rPr>
        <i/>
        <sz val="12"/>
        <color theme="1"/>
        <rFont val="Calibri"/>
        <family val="2"/>
      </rPr>
      <t>Quaternary Research</t>
    </r>
    <r>
      <rPr>
        <sz val="12"/>
        <color theme="1"/>
        <rFont val="Calibri"/>
        <family val="2"/>
      </rPr>
      <t xml:space="preserve">, </t>
    </r>
    <r>
      <rPr>
        <i/>
        <sz val="12"/>
        <color theme="1"/>
        <rFont val="Calibri"/>
        <family val="2"/>
      </rPr>
      <t>12</t>
    </r>
    <r>
      <rPr>
        <sz val="12"/>
        <color theme="1"/>
        <rFont val="Calibri"/>
        <family val="2"/>
      </rPr>
      <t>(2), 241–253. https://doi.org/10.1016/0033-5894(79)90060-7</t>
    </r>
  </si>
  <si>
    <r>
      <t xml:space="preserve">Totaro, F., Insinga, D. D., Lirer, F., Margaritelli, G., Català i Caparrós, A., de la Fuente, M., &amp; Petrosino, P. (2022). The Late Pleistocene to Holocene tephra record of ND14Q site (southern Adriatic Sea): Traceability and preservation of Neapolitan explosive products in the marine realm. </t>
    </r>
    <r>
      <rPr>
        <i/>
        <sz val="12"/>
        <color theme="1"/>
        <rFont val="Calibri"/>
        <family val="2"/>
      </rPr>
      <t>Journal of Volcanology and Geothermal Research</t>
    </r>
    <r>
      <rPr>
        <sz val="12"/>
        <color theme="1"/>
        <rFont val="Calibri"/>
        <family val="2"/>
      </rPr>
      <t xml:space="preserve">, </t>
    </r>
    <r>
      <rPr>
        <i/>
        <sz val="12"/>
        <color theme="1"/>
        <rFont val="Calibri"/>
        <family val="2"/>
      </rPr>
      <t>423</t>
    </r>
    <r>
      <rPr>
        <sz val="12"/>
        <color theme="1"/>
        <rFont val="Calibri"/>
        <family val="2"/>
      </rPr>
      <t>, Article 107461. https://doi.org/10.1016/j.jvolgeores.2021.107461</t>
    </r>
  </si>
  <si>
    <r>
      <t xml:space="preserve">Trincardi, F., Cattaneo, A., Asioli, A., Correggiari, A., &amp; Langone, L. (1996). Stratigraphy of the Late Quaternary deposits in the central Adriatic basin and the record of short-term climatic events. </t>
    </r>
    <r>
      <rPr>
        <i/>
        <sz val="12"/>
        <color theme="1"/>
        <rFont val="Calibri"/>
        <family val="2"/>
      </rPr>
      <t>Memorie Dell’Istituto Italiano Di Idrobiologia</t>
    </r>
    <r>
      <rPr>
        <sz val="12"/>
        <color theme="1"/>
        <rFont val="Calibri"/>
        <family val="2"/>
      </rPr>
      <t xml:space="preserve">, </t>
    </r>
    <r>
      <rPr>
        <i/>
        <sz val="12"/>
        <color theme="1"/>
        <rFont val="Calibri"/>
        <family val="2"/>
      </rPr>
      <t>55</t>
    </r>
    <r>
      <rPr>
        <sz val="12"/>
        <color theme="1"/>
        <rFont val="Calibri"/>
        <family val="2"/>
      </rPr>
      <t>, 39–70.</t>
    </r>
  </si>
  <si>
    <r>
      <t xml:space="preserve">Ülgen, U. B., Franz, S. O., Biltekin, D., Çağatay, M. N., Roeser, P. A., Doner, L., &amp; Thein, J. (2012). Climatic and environmental evolution of Lake Iznik (NW Turkey) over the last ∼4700 years. </t>
    </r>
    <r>
      <rPr>
        <i/>
        <sz val="12"/>
        <color theme="1"/>
        <rFont val="Calibri"/>
        <family val="2"/>
      </rPr>
      <t>Quaternary International</t>
    </r>
    <r>
      <rPr>
        <sz val="12"/>
        <color theme="1"/>
        <rFont val="Calibri"/>
        <family val="2"/>
      </rPr>
      <t xml:space="preserve">, </t>
    </r>
    <r>
      <rPr>
        <i/>
        <sz val="12"/>
        <color theme="1"/>
        <rFont val="Calibri"/>
        <family val="2"/>
      </rPr>
      <t>274</t>
    </r>
    <r>
      <rPr>
        <sz val="12"/>
        <color theme="1"/>
        <rFont val="Calibri"/>
        <family val="2"/>
      </rPr>
      <t>, 88–101. https://doi.org/10.1016/j.quaint.2012.06.016</t>
    </r>
  </si>
  <si>
    <r>
      <t xml:space="preserve">van den Bogaard, P., &amp; Schmincke, H. U. (1985). Laacher See Tephra: A widespread isochronous Late Quaternary tephra layer in central and northern Europe. </t>
    </r>
    <r>
      <rPr>
        <i/>
        <sz val="12"/>
        <color theme="1"/>
        <rFont val="Calibri"/>
        <family val="2"/>
      </rPr>
      <t>Geological Society of America Bulletin</t>
    </r>
    <r>
      <rPr>
        <sz val="12"/>
        <color theme="1"/>
        <rFont val="Calibri"/>
        <family val="2"/>
      </rPr>
      <t xml:space="preserve">, </t>
    </r>
    <r>
      <rPr>
        <i/>
        <sz val="12"/>
        <color theme="1"/>
        <rFont val="Calibri"/>
        <family val="2"/>
      </rPr>
      <t>96</t>
    </r>
    <r>
      <rPr>
        <sz val="12"/>
        <color theme="1"/>
        <rFont val="Calibri"/>
        <family val="2"/>
      </rPr>
      <t>, 1554–1571. https://doi.org/10.1130/0016-7606(1985)96&lt;1554:lstawi&gt;2.0.co;2</t>
    </r>
  </si>
  <si>
    <r>
      <t xml:space="preserve">Vezzoli, L. (1991). Tephra layers in Bannock Basin (eastern Mediterranean). </t>
    </r>
    <r>
      <rPr>
        <i/>
        <sz val="12"/>
        <color theme="1"/>
        <rFont val="Calibri"/>
        <family val="2"/>
      </rPr>
      <t>Marine Geology</t>
    </r>
    <r>
      <rPr>
        <sz val="12"/>
        <color theme="1"/>
        <rFont val="Calibri"/>
        <family val="2"/>
      </rPr>
      <t xml:space="preserve">, </t>
    </r>
    <r>
      <rPr>
        <i/>
        <sz val="12"/>
        <color theme="1"/>
        <rFont val="Calibri"/>
        <family val="2"/>
      </rPr>
      <t>100</t>
    </r>
    <r>
      <rPr>
        <sz val="12"/>
        <color theme="1"/>
        <rFont val="Calibri"/>
        <family val="2"/>
      </rPr>
      <t>, 21–34. https://doi.org/10.1016/0025-3227(91)90221-o</t>
    </r>
  </si>
  <si>
    <r>
      <t xml:space="preserve">Vogel, H., Zanchetta, G., Sulpizio, R., Wagner, B., &amp; Nowaczyk, N. (2010). A tephrostratigraphic record for the last glacial-interglacial cycle from Lake Ohrid, Albania and Macedonia. </t>
    </r>
    <r>
      <rPr>
        <i/>
        <sz val="12"/>
        <color theme="1"/>
        <rFont val="Calibri"/>
        <family val="2"/>
      </rPr>
      <t>Journal of Quaternary Science</t>
    </r>
    <r>
      <rPr>
        <sz val="12"/>
        <color theme="1"/>
        <rFont val="Calibri"/>
        <family val="2"/>
      </rPr>
      <t xml:space="preserve">, </t>
    </r>
    <r>
      <rPr>
        <i/>
        <sz val="12"/>
        <color theme="1"/>
        <rFont val="Calibri"/>
        <family val="2"/>
      </rPr>
      <t>25</t>
    </r>
    <r>
      <rPr>
        <sz val="12"/>
        <color theme="1"/>
        <rFont val="Calibri"/>
        <family val="2"/>
      </rPr>
      <t>(3), 320–338. https://doi.org/10.1002/jqs.1311</t>
    </r>
  </si>
  <si>
    <r>
      <t xml:space="preserve">Wagner, B., Sulpizio, R., Zanchetta, G., Wulf, S., Wessels, M., Daut, G., &amp; Nowaczyk, N. (2008). The last 40 ka tephrostratigraphic record of Lake Ohrid, Albania and Macedonia: A very distal archive for ash dispersal from Italian volcanoes. </t>
    </r>
    <r>
      <rPr>
        <i/>
        <sz val="12"/>
        <color theme="1"/>
        <rFont val="Calibri"/>
        <family val="2"/>
      </rPr>
      <t>Journal of Volcanology and Geothermal Research</t>
    </r>
    <r>
      <rPr>
        <sz val="12"/>
        <color theme="1"/>
        <rFont val="Calibri"/>
        <family val="2"/>
      </rPr>
      <t xml:space="preserve">, </t>
    </r>
    <r>
      <rPr>
        <i/>
        <sz val="12"/>
        <color theme="1"/>
        <rFont val="Calibri"/>
        <family val="2"/>
      </rPr>
      <t>177</t>
    </r>
    <r>
      <rPr>
        <sz val="12"/>
        <color theme="1"/>
        <rFont val="Calibri"/>
        <family val="2"/>
      </rPr>
      <t>(1), 71–80. https://doi.org/10.1016/j.jvolgeores.2007.08.018</t>
    </r>
  </si>
  <si>
    <r>
      <t xml:space="preserve">Wulf, S., Brauer, A., Mingram, J., Zolitschka, B., &amp; Negendank, J. F. W. (2007). Distal tephras in the sediments of Monticchio maar lakes. In C. Principe (Ed.), </t>
    </r>
    <r>
      <rPr>
        <i/>
        <sz val="12"/>
        <color theme="1"/>
        <rFont val="Calibri"/>
        <family val="2"/>
      </rPr>
      <t>Geologia del Monte Vulture</t>
    </r>
    <r>
      <rPr>
        <sz val="12"/>
        <color theme="1"/>
        <rFont val="Calibri"/>
        <family val="2"/>
      </rPr>
      <t xml:space="preserve"> (pp. 105–122). Bollettino della Società Geologica Italiana.</t>
    </r>
  </si>
  <si>
    <r>
      <t xml:space="preserve">Wulf, S., Hardiman, M. J., Staff, R. A., Koutsodendris, A., Appelt, O., Blockley, S. P. E., Lowe, J. J., Manning, C. J., Ottolini, L., Schmitt, A. K., Smith, V. C., Tomlinson, E. L., Vakhrameeva, P., Knipping, M., Kotthoff, U., Milner, A. M., Müller, U. C., Christanis, K., Kalaitzidis, S., … Pross, J. (2018). The marine isotope stage 1–5 cryptotephra record of Tenaghi Philippon, Greece: Towards a detailed tephrostratigraphic framework for the eastern Mediterranean region. </t>
    </r>
    <r>
      <rPr>
        <i/>
        <sz val="12"/>
        <color theme="1"/>
        <rFont val="Calibri"/>
        <family val="2"/>
      </rPr>
      <t>Quaternary Science Reviews</t>
    </r>
    <r>
      <rPr>
        <sz val="12"/>
        <color theme="1"/>
        <rFont val="Calibri"/>
        <family val="2"/>
      </rPr>
      <t xml:space="preserve">, </t>
    </r>
    <r>
      <rPr>
        <i/>
        <sz val="12"/>
        <color theme="1"/>
        <rFont val="Calibri"/>
        <family val="2"/>
      </rPr>
      <t>186</t>
    </r>
    <r>
      <rPr>
        <sz val="12"/>
        <color theme="1"/>
        <rFont val="Calibri"/>
        <family val="2"/>
      </rPr>
      <t>, 236–262. https://doi.org/10.1016/j.quascirev.2018.03.011</t>
    </r>
  </si>
  <si>
    <r>
      <t xml:space="preserve">Wulf, S., Keller, J., Satow, C., Gertisser, R., Kraml, M., Grant, K. M., Appelt, O., Vakhrameeva, P., Koutsodendris, A., Hardiman, M., Schulz, H., &amp; Pross, J. (2020). Advancing Santorini’s tephrostratigraphy: New glass geochemical data and improved marine-terrestrial tephra correlations for the past ∼360 kyrs. </t>
    </r>
    <r>
      <rPr>
        <i/>
        <sz val="12"/>
        <color theme="1"/>
        <rFont val="Calibri"/>
        <family val="2"/>
      </rPr>
      <t>Earth-Science Reviews</t>
    </r>
    <r>
      <rPr>
        <sz val="12"/>
        <color theme="1"/>
        <rFont val="Calibri"/>
        <family val="2"/>
      </rPr>
      <t xml:space="preserve">, </t>
    </r>
    <r>
      <rPr>
        <i/>
        <sz val="12"/>
        <color theme="1"/>
        <rFont val="Calibri"/>
        <family val="2"/>
      </rPr>
      <t>200</t>
    </r>
    <r>
      <rPr>
        <sz val="12"/>
        <color theme="1"/>
        <rFont val="Calibri"/>
        <family val="2"/>
      </rPr>
      <t>, Article 102964. https://doi.org/10.1016/j.earscirev.2019.102964</t>
    </r>
  </si>
  <si>
    <r>
      <t xml:space="preserve">Wulf, S., Kraml, M., &amp; Keller, J. (2008). Towards a detailed distal tephrostratigraphy in the central Mediterranean: The last 20,000 yrs record of Lago Grande di Monticchio. </t>
    </r>
    <r>
      <rPr>
        <i/>
        <sz val="12"/>
        <color theme="1"/>
        <rFont val="Calibri"/>
        <family val="2"/>
      </rPr>
      <t>Journal of Volcanology and Geothermal Research</t>
    </r>
    <r>
      <rPr>
        <sz val="12"/>
        <color theme="1"/>
        <rFont val="Calibri"/>
        <family val="2"/>
      </rPr>
      <t xml:space="preserve">, </t>
    </r>
    <r>
      <rPr>
        <i/>
        <sz val="12"/>
        <color theme="1"/>
        <rFont val="Calibri"/>
        <family val="2"/>
      </rPr>
      <t>177</t>
    </r>
    <r>
      <rPr>
        <sz val="12"/>
        <color theme="1"/>
        <rFont val="Calibri"/>
        <family val="2"/>
      </rPr>
      <t>(1), 118–132. https://doi.org/10.1016/j.jvolgeores.2007.10.009</t>
    </r>
  </si>
  <si>
    <r>
      <t xml:space="preserve">Wulf, S., Kraml, M., Brauer, A., Keller, J., &amp; Negendank, J. F. W. (2004). Tephrochronology of the 100 ka lacustrine sediment record of Lago Grande di Monticchio (southern Italy). </t>
    </r>
    <r>
      <rPr>
        <i/>
        <sz val="12"/>
        <color theme="1"/>
        <rFont val="Calibri"/>
        <family val="2"/>
      </rPr>
      <t>Quaternary International</t>
    </r>
    <r>
      <rPr>
        <sz val="12"/>
        <color theme="1"/>
        <rFont val="Calibri"/>
        <family val="2"/>
      </rPr>
      <t xml:space="preserve">, </t>
    </r>
    <r>
      <rPr>
        <i/>
        <sz val="12"/>
        <color theme="1"/>
        <rFont val="Calibri"/>
        <family val="2"/>
      </rPr>
      <t>122</t>
    </r>
    <r>
      <rPr>
        <sz val="12"/>
        <color theme="1"/>
        <rFont val="Calibri"/>
        <family val="2"/>
      </rPr>
      <t>(1), 7–30. https://doi.org/10.1016/j.quaint.2004.01.028</t>
    </r>
  </si>
  <si>
    <r>
      <t xml:space="preserve">Zonneveld, K. A., Harper, K., Klügel, A., Chen, L., de Lange, G., &amp; Versteegh, G. J. M. (2024). Climate change, society, and pandemic disease in Roman Italy between 200 BCE and 600 CE. </t>
    </r>
    <r>
      <rPr>
        <i/>
        <sz val="12"/>
        <color theme="1"/>
        <rFont val="Calibri"/>
        <family val="2"/>
      </rPr>
      <t>Science Advances</t>
    </r>
    <r>
      <rPr>
        <sz val="12"/>
        <color theme="1"/>
        <rFont val="Calibri"/>
        <family val="2"/>
      </rPr>
      <t xml:space="preserve">, </t>
    </r>
    <r>
      <rPr>
        <i/>
        <sz val="12"/>
        <color theme="1"/>
        <rFont val="Calibri"/>
        <family val="2"/>
      </rPr>
      <t>10</t>
    </r>
    <r>
      <rPr>
        <sz val="12"/>
        <color theme="1"/>
        <rFont val="Calibri"/>
        <family val="2"/>
      </rPr>
      <t>(4), Article eadk1033. https://doi.org/10.1126/sciadv.adk1033</t>
    </r>
  </si>
  <si>
    <t>Schmincke &amp; Sumita (2014)</t>
  </si>
  <si>
    <t>Wulf et al. (2004, 2008)</t>
  </si>
  <si>
    <t>Wulf et al. (2004, 2008); Poli et al. (1987)</t>
  </si>
  <si>
    <t>Country where deposit site is located</t>
  </si>
  <si>
    <t>Region where deposit site is located</t>
  </si>
  <si>
    <t>Latitude of the source volcano</t>
  </si>
  <si>
    <t>Longitude of the source volcano</t>
  </si>
  <si>
    <t>Any important comments relating to the tephra or associated publication</t>
  </si>
  <si>
    <t>Median age of the tephra given in calibrated years before present (1950). Note that frequently median age was not reported in source publications and was not possible to calculate, so mean age is used in lieu, i.e. the best available measure of central tendency</t>
  </si>
  <si>
    <t>Uncertainty of absolute age</t>
  </si>
  <si>
    <r>
      <t xml:space="preserve">Hamann, Y., Wulf, S., Ersoy, O., Ehrmann, W., Aydar, E., &amp; Schmiedl, G. (2010). First evidence of a distal Early Holocene ash layer in eastern Mediterranean deep-sea sediments derived from the Anatolian volcanic province. </t>
    </r>
    <r>
      <rPr>
        <i/>
        <sz val="12"/>
        <color theme="1"/>
        <rFont val="Calibri"/>
        <family val="2"/>
      </rPr>
      <t>Quaternary Research</t>
    </r>
    <r>
      <rPr>
        <sz val="12"/>
        <color theme="1"/>
        <rFont val="Calibri"/>
        <family val="2"/>
      </rPr>
      <t xml:space="preserve">, </t>
    </r>
    <r>
      <rPr>
        <i/>
        <sz val="12"/>
        <color theme="1"/>
        <rFont val="Calibri"/>
        <family val="2"/>
      </rPr>
      <t>73</t>
    </r>
    <r>
      <rPr>
        <sz val="12"/>
        <color theme="1"/>
        <rFont val="Calibri"/>
        <family val="2"/>
      </rPr>
      <t>(3), 497–506. https://doi.org/10.1016/j.yqres.2009.12.004</t>
    </r>
  </si>
  <si>
    <r>
      <t xml:space="preserve">Sadori, L., &amp; Narcisi, B. (2001). The postglacial record of environmental history from Lago di Pergusa, Sicily. </t>
    </r>
    <r>
      <rPr>
        <i/>
        <sz val="12"/>
        <color theme="1"/>
        <rFont val="Calibri"/>
        <family val="2"/>
      </rPr>
      <t>The Holocene</t>
    </r>
    <r>
      <rPr>
        <sz val="12"/>
        <color theme="1"/>
        <rFont val="Calibri"/>
        <family val="2"/>
      </rPr>
      <t xml:space="preserve">, </t>
    </r>
    <r>
      <rPr>
        <i/>
        <sz val="12"/>
        <color theme="1"/>
        <rFont val="Calibri"/>
        <family val="2"/>
      </rPr>
      <t>11</t>
    </r>
    <r>
      <rPr>
        <sz val="12"/>
        <color theme="1"/>
        <rFont val="Calibri"/>
        <family val="2"/>
      </rPr>
      <t>(6), 655–670. https://doi.org/10.1191/09596830195681</t>
    </r>
  </si>
  <si>
    <t>Modelled age (median N/A; mean given instead). Radiocarbon date on planktonic foraminifera also available (Siani et al., 2004)</t>
  </si>
  <si>
    <t>Coltelli et al. (2005)</t>
  </si>
  <si>
    <t>Mannella et al. (2019)</t>
  </si>
  <si>
    <t>Sarıkaya et al. (2009)</t>
  </si>
  <si>
    <t>di Donato et al. (2019)</t>
  </si>
  <si>
    <t>Modelled age (di Donato et al., 2019) is utilised. The possible correlation with the AP2-4 eruptions poses an issue as the dates for these eruptions are not well-constrained and could possibly be far younger (~1000 yrs) than the modelled age. However, the known age for the FL eruption is in good agreement with the modelled age</t>
  </si>
  <si>
    <t>Modelled age (95.4% confidence); model from Smith et al. (2011) was re-run with OxCal Version 4.4 to bring up to IntCal20. Radiocarbon date on underlying paleosol also available (di Vito et al., 1999)</t>
  </si>
  <si>
    <t>Modelled age (95.4% confidence); model from Smith et al. (2011) was re-run with OxCal Version 4.4 to bring up to IntCal20. Charcoal in a thin humified layer underlying Astroni 3 also radiocarbon dated (di Vito et al., 1999)</t>
  </si>
  <si>
    <t>Modelled age (95.4% confidence); model from Smith et al. (2011) was re-run with OxCal Version 4.4 to bring up to IntCal20. di Vito et al. (1999) also radiocarbon dated associated terrestrial material</t>
  </si>
  <si>
    <t>Dated by correlation with the S-1 tephra in eastern Levantine Sea (Hamann et al., 2010), originating from the Dikkartın eruption. Recent revision of the Dikkartın eruption date using U-Th (Friedrichs et al., 2020) is utilised. Reported to 1σ</t>
  </si>
  <si>
    <t>Date for Dikkartın eruption adopted for whole 25-30 cm layer as proposed by Barton et al. (2015). The identification of SC1_25-30_comp2 is uncertain, but the SC1_25-30_comp1 tephra at the same depth is strongly correlated with the Dikkartın eruption</t>
  </si>
  <si>
    <t>Date for Dikkartın eruption adopted for whole 25-30 cm layer as proposed by Barton et al. (2015). The identification of SC1_25-30_comp3 is uncertain, but the SC1_25-30_comp1 tephra at the same depth is strongly correlated with the Dikkartın eruption</t>
  </si>
  <si>
    <t>36Cl; Karagüllü eruption dated to 9765 ± 205 yrs BP, while Perikartini eruption dated to 9,050 ± 1,150 yrs BP</t>
  </si>
  <si>
    <t>The known date of the 640 CE eruption is utilised; an error of ± 500 is applied arbitrarily</t>
  </si>
  <si>
    <t>Bayesian age-depth model constructed for Lake Lia and Brazi using previously published radiocarbon dates (Hubay et al., 2018), OxCal Version 4.4, and IntCal20 curve (95.4% confidence)</t>
  </si>
  <si>
    <t>Bayesian age-depth model constructed for Lake Lia and Brazi using previously published radiocarbon dates (Hubay et al., 2018), OxCal Version 4.4, and IntCal20 curve. 2σ range given</t>
  </si>
  <si>
    <t>Radiocarbon-based Bayesian depositional model for Kråkenes (Lohn et al., 2014) updated by Engels et al. (2022) using IntCal20 in OxCal Version 4.4</t>
  </si>
  <si>
    <t>Calibrated (IntCal20) radiocarbon age, 95.4% confidence interval. Numerous 14C dates were combined in OxCal Version 4.4 using R_Combine prior to calibration</t>
  </si>
  <si>
    <t>Calibrated (Marine20) radiocarbon date on marine forams. ΔR = 0. Uncertainty = 50</t>
  </si>
  <si>
    <t>Calibrated (Marine20) radiocarbon date on planktonic foraminifera. ΔR = 0. Uncertainty = 50</t>
  </si>
  <si>
    <t>Calibrated (Marine20) radiocarbon age from 2cm thick planktonic foraminifera immediately below tephra layer. ΔR = -148. Uncertainty = 48. ΔR calculated from average reservoir values of 5 nearest sites (14CHRONO Marine 20 database)</t>
  </si>
  <si>
    <t>Calibrated (IntCal20) radiocarbon age 8723-9009, 95.4% confidence interval. 8010 ± 35 14C yrs BP</t>
  </si>
  <si>
    <t>Calibrated (IntCal20) radiocarbon age, 95.4% confidence interval. 8010 ± 35 14C yrs BP</t>
  </si>
  <si>
    <t>Modelled age (Totaro et al., 2022). Multiple 14C dates on marine forams (Siani et al., 2004): 12,600 ± 110 14C yrs BP and 12,870 ± 100 14C yrs BP</t>
  </si>
  <si>
    <t>Modelled age. Reinig et al. (2021) dated the LST to 13,006 ± 9 cal yrs BP (2σ) using annually-resolved radiocarbon dating of treerings. Engels et al. (2022) update this age using wiggle-matching and IntCal20</t>
  </si>
  <si>
    <t>Modelled age (Totaro et al., 2022). Multiple 14C dates on marine forams (Siani et al., 2004): 12600 ± 110 14C yrs BP and 12870 ± 100 14C yrs BP</t>
  </si>
  <si>
    <t>Solchario identified three times in the Monticchio sequence (TM-14, TM-14a, TM-14b) but is represented once here. Varve age of 21260 ± 1060 yr BP for TM-14b. There are also two conflicting 14C ages from paleosols covered by proximal deposits: 19620 ± 270 and 17266 ± 147 14C yrs BP (Lirer et al., 1991). Calibrated (IntCal20) radiocarbon age, 95.4% confidence interval using 19620 ± 269</t>
  </si>
  <si>
    <t>Solchario identified three times in the Monticchio sequence (TM-14, TM-14a, TM-14b) but is represented once here. Varve age of 21260 ± 1060 yr BP for TM-14b. There are also two conflicting 14C ages from paleosols covered by proximal deposits: 19620 ± 270 and 17266 ± 147 14C yrs BP (Lirer et al., 1991). Calibrated (IntCal20) radiocarbon age, 95.4% confidence interval using 19620 ± 270</t>
  </si>
  <si>
    <t>Smith et al. (2011); Reimer et al. (2020); Bronk Ramsey (2009)</t>
  </si>
  <si>
    <t>Bronk Ramsey et al. (2015); Reimer et al. (2020); Bronk Ramsey (2009)</t>
  </si>
  <si>
    <t>Bronk Ramsey et al. (2015); Wulf et al. (2004, 2007, 2008); Reimer et al. (2020); Bronk Ramsey (2009)</t>
  </si>
  <si>
    <t>Andronico et al. (1995); Aulinas et al. (2008); Reimer et al. (2020)</t>
  </si>
  <si>
    <t>Smith et al. (2011); di Vito et al. (1999); Reimer et al. (2020); Bronk Ramsey (2009)</t>
  </si>
  <si>
    <t>Keller (2002); Pistolesi et al. (2021); Reimer et al. (2020)</t>
  </si>
  <si>
    <t>Siani et al. (2004); Heaton et al. (2020)</t>
  </si>
  <si>
    <t>Siani et al. (2004); Reimer et al. (2020)</t>
  </si>
  <si>
    <t>Bronk Ramsey et al. (2015); Siani et al. (2004); Reimer et al. (2020); Bronk Ramsey (2009)</t>
  </si>
  <si>
    <t>Bronk Ramsey et al. (2015); Wulf et al. (2004, 2008); Reimer et al. (2020); Bronk Ramsey (2009)</t>
  </si>
  <si>
    <t>Sadori &amp; Narcisi (2001); Reimer et al. (2020)</t>
  </si>
  <si>
    <t>Smith et al. (2011); Wulf et al. (2004, 2007, 2008); Reimer et al. (2020); Bronk Ramsey (2009)</t>
  </si>
  <si>
    <t>Rolandi et al. (1998); Andronico &amp; Cioni (2002); Totaro et al. (2022); Wulf et al. (2004, 2008); Reimer et al. (2020)</t>
  </si>
  <si>
    <t>Orsi et al. (1996); Reimer et al. (2020)</t>
  </si>
  <si>
    <t>Santacroce et al. (2008); Reimer et al. (2020)</t>
  </si>
  <si>
    <t>Santacroce et al. (2008); Reimer et al. (2020); Bronk Ramsey (2009)</t>
  </si>
  <si>
    <t>Smith et al. (2011); Wulf et al. (2004, 2008); Reimer et al. (2020); Bronk Ramsey (2009)</t>
  </si>
  <si>
    <t>del Carlo et al. (2020); Reimer et al. (2020)</t>
  </si>
  <si>
    <t>Engels et al. (2022); Reinig et al. (2021); Reimer et al. (2020)</t>
  </si>
  <si>
    <t>Hamann et al. (2010); Reimer et al. (2020)</t>
  </si>
  <si>
    <t>Insinga et al. (2020); Heaton et al. (2020)</t>
  </si>
  <si>
    <t>de Alteriis et al. (2010); Reimer et al. (2020)</t>
  </si>
  <si>
    <t>Kearney et al. (2024); Hubay et al. (2018); Reimer et al. (2020); Bronk Ramsey (2009)</t>
  </si>
  <si>
    <t>Engels et al. (2022); Lohne et al. (2014); Reimer et al. (2020); Bronk Ramsey (2009)</t>
  </si>
  <si>
    <t>Bronk Ramsey et al. (2015); Mannella et al. (2019); Reimer et al. (2020); Bronk Ramsey (2009)</t>
  </si>
  <si>
    <t>Bronk Ramsey et al. (2015); Matthews et al. (2015); Reimer et al. (2020); Bronk Ramsey (2009)</t>
  </si>
  <si>
    <t>Lirer et al. (1991); Reimer et al. (2020)</t>
  </si>
  <si>
    <t>Razum et al. (2020); Reimer et al. (2020); Bronk Ramsey (2009)</t>
  </si>
  <si>
    <t>Bronk Ramsey et al. (2015); Razum et al. (2020); Reimer et al. (2020); Bronk Ramsey (2009)</t>
  </si>
  <si>
    <t>Andronico et al. (1995); Aulinas et al. (2008); Razum et al. (2020); Reimer et al. (2020)</t>
  </si>
  <si>
    <t>Smith (2011); Wulf et al. (2004, 2007, 2008); Reimer et al. (2020); Bronk Ramsey (2009)</t>
  </si>
  <si>
    <t>Rolandi et al. (1998); Reimer et al. (2020)</t>
  </si>
  <si>
    <r>
      <t xml:space="preserve">Albert, P. G., Tomlinson, E. L., Lane, C. S., Wulf, S., Smith, V. C., Coltelli, M., Keller, J., lo Castro, D., Manning, C. J., Müller, W., &amp; Menzies, M. A. (2013). Late Glacial explosive activity on Mount Etna: Implications for proximal–distal tephra correlations and the synchronisation of Mediterranean archives. </t>
    </r>
    <r>
      <rPr>
        <i/>
        <sz val="12"/>
        <color theme="1"/>
        <rFont val="Calibri"/>
        <family val="2"/>
      </rPr>
      <t>Journal of Volcanology and Geothermal Research</t>
    </r>
    <r>
      <rPr>
        <sz val="12"/>
        <color theme="1"/>
        <rFont val="Calibri"/>
        <family val="2"/>
      </rPr>
      <t xml:space="preserve">, </t>
    </r>
    <r>
      <rPr>
        <i/>
        <sz val="12"/>
        <color theme="1"/>
        <rFont val="Calibri"/>
        <family val="2"/>
      </rPr>
      <t>265</t>
    </r>
    <r>
      <rPr>
        <sz val="12"/>
        <color theme="1"/>
        <rFont val="Calibri"/>
        <family val="2"/>
      </rPr>
      <t>, 9–26. https://doi.org/10.1016/j.jvolgeores.2013.07.010</t>
    </r>
  </si>
  <si>
    <r>
      <t xml:space="preserve">Albore Livadie, C. (2007). L’età del Bronzo antico e medio nella Campania nord-occidentale. In </t>
    </r>
    <r>
      <rPr>
        <i/>
        <sz val="12"/>
        <color theme="1"/>
        <rFont val="Calibri"/>
        <family val="2"/>
      </rPr>
      <t>Strategie di insediamento fra Lazio e Campania in età preistorica e protostorica. Atti della XL Riunione Scientifica</t>
    </r>
    <r>
      <rPr>
        <sz val="12"/>
        <color theme="1"/>
        <rFont val="Calibri"/>
        <family val="2"/>
      </rPr>
      <t xml:space="preserve"> (Vol. 2, pp. 179–203). Istituto Italiano di Preistoria e Protostoria.</t>
    </r>
  </si>
  <si>
    <r>
      <t xml:space="preserve">Albore Livadie, C., Pearce, M., Delle Donne, M., &amp; Pizzano, N. (2019). The effects of the Avellino Pumice eruption on the population of the Early Bronze Age Campanian plain (southern Italy). </t>
    </r>
    <r>
      <rPr>
        <i/>
        <sz val="12"/>
        <color theme="1"/>
        <rFont val="Calibri"/>
        <family val="2"/>
      </rPr>
      <t>Quaternary International</t>
    </r>
    <r>
      <rPr>
        <sz val="12"/>
        <color theme="1"/>
        <rFont val="Calibri"/>
        <family val="2"/>
      </rPr>
      <t xml:space="preserve">, </t>
    </r>
    <r>
      <rPr>
        <i/>
        <sz val="12"/>
        <color theme="1"/>
        <rFont val="Calibri"/>
        <family val="2"/>
      </rPr>
      <t>499</t>
    </r>
    <r>
      <rPr>
        <sz val="12"/>
        <color theme="1"/>
        <rFont val="Calibri"/>
        <family val="2"/>
      </rPr>
      <t>, 205–220. https://doi.org/10.1016/j.quaint.2018.03.035</t>
    </r>
  </si>
  <si>
    <r>
      <t xml:space="preserve">Andronico, D., &amp; Cioni, R. (2002). Contrasting styles of Mount Vesuvius activity in the period between the Avellino and Pompeii plinian eruptions, and some implications for assessment of future hazards. </t>
    </r>
    <r>
      <rPr>
        <i/>
        <sz val="12"/>
        <color theme="1"/>
        <rFont val="Calibri"/>
        <family val="2"/>
      </rPr>
      <t>Bulletin of Volcanology</t>
    </r>
    <r>
      <rPr>
        <sz val="12"/>
        <color theme="1"/>
        <rFont val="Calibri"/>
        <family val="2"/>
      </rPr>
      <t xml:space="preserve">, </t>
    </r>
    <r>
      <rPr>
        <i/>
        <sz val="12"/>
        <color theme="1"/>
        <rFont val="Calibri"/>
        <family val="2"/>
      </rPr>
      <t>64</t>
    </r>
    <r>
      <rPr>
        <sz val="12"/>
        <color theme="1"/>
        <rFont val="Calibri"/>
        <family val="2"/>
      </rPr>
      <t>(6), 372–391. https://doi.org/10.1007/s00445-002-0215-4</t>
    </r>
  </si>
  <si>
    <r>
      <t xml:space="preserve">Andronico, D., Calderoni, G., Cioni, R., Sbrana, A., Sulpizio, R., &amp; Santacroce, R. (1995). Geological map of Somma-Vesuvius volcano. </t>
    </r>
    <r>
      <rPr>
        <i/>
        <sz val="12"/>
        <color theme="1"/>
        <rFont val="Calibri"/>
        <family val="2"/>
      </rPr>
      <t>Periodico di Mineralogia</t>
    </r>
    <r>
      <rPr>
        <sz val="12"/>
        <color theme="1"/>
        <rFont val="Calibri"/>
        <family val="2"/>
      </rPr>
      <t xml:space="preserve">, </t>
    </r>
    <r>
      <rPr>
        <i/>
        <sz val="12"/>
        <color theme="1"/>
        <rFont val="Calibri"/>
        <family val="2"/>
      </rPr>
      <t>64</t>
    </r>
    <r>
      <rPr>
        <sz val="12"/>
        <color theme="1"/>
        <rFont val="Calibri"/>
        <family val="2"/>
      </rPr>
      <t>, 77–78.</t>
    </r>
  </si>
  <si>
    <r>
      <t xml:space="preserve">Arrighi, S., Principe, C., &amp; Rosi, M. (2001). Violent strombolian and subplinian eruptions at Vesuvius during post-1631 activity. </t>
    </r>
    <r>
      <rPr>
        <i/>
        <sz val="12"/>
        <color theme="1"/>
        <rFont val="Calibri"/>
        <family val="2"/>
      </rPr>
      <t>Bulletin of Volcanology</t>
    </r>
    <r>
      <rPr>
        <sz val="12"/>
        <color theme="1"/>
        <rFont val="Calibri"/>
        <family val="2"/>
      </rPr>
      <t xml:space="preserve">, </t>
    </r>
    <r>
      <rPr>
        <i/>
        <sz val="12"/>
        <color theme="1"/>
        <rFont val="Calibri"/>
        <family val="2"/>
      </rPr>
      <t>63</t>
    </r>
    <r>
      <rPr>
        <sz val="12"/>
        <color theme="1"/>
        <rFont val="Calibri"/>
        <family val="2"/>
      </rPr>
      <t>(2–3), 126–150. https://doi.org/10.1007/s004450100130</t>
    </r>
  </si>
  <si>
    <r>
      <t xml:space="preserve">Arrighi, S., Tanguy, J. C., &amp; Rosi, M. (2006). Eruptions of the last 2200 years at Vulcano and Vulcanello (Aeolian Islands, Italy) dated by high-accuracy archeomagnetism. </t>
    </r>
    <r>
      <rPr>
        <i/>
        <sz val="12"/>
        <color theme="1"/>
        <rFont val="Calibri"/>
        <family val="2"/>
      </rPr>
      <t>Physics of the Earth and Planetary Interiors</t>
    </r>
    <r>
      <rPr>
        <sz val="12"/>
        <color theme="1"/>
        <rFont val="Calibri"/>
        <family val="2"/>
      </rPr>
      <t xml:space="preserve">, </t>
    </r>
    <r>
      <rPr>
        <i/>
        <sz val="12"/>
        <color theme="1"/>
        <rFont val="Calibri"/>
        <family val="2"/>
      </rPr>
      <t>159</t>
    </r>
    <r>
      <rPr>
        <sz val="12"/>
        <color theme="1"/>
        <rFont val="Calibri"/>
        <family val="2"/>
      </rPr>
      <t>(3–4), 225–233. https://doi.org/10.1016/j.pepi.2006.07.010</t>
    </r>
  </si>
  <si>
    <t>Aulinas, M., Civetta, L., di Vito, M. A., Orsi, G., Gimeno, D., &amp; Fernández-Turiel, J. L. (2008). The “Pomici di Mercato” plinian eruption of Somma-Vesuvius: Magma chamber processes and eruption dynamics. Bulletin of Volcanology, 70(7), 825–840. https://doi.org/10.1007/s00445-007-0172-z</t>
  </si>
  <si>
    <t>Barton, R. N. E., Lane, C. S., Albert, P. G., White, D., Collcutt, S. N., Bouzouggar, A., Ditchfield, P., Farr, L., Oh, A., Ottolini, L., Smith, V. C., van Peer, P., &amp; Kindermann, K. (2015). The role of cryptotephra in refining the chronology of Late Pleistocene human evolution and cultural change in North Africa. Quaternary Science Reviews, 118, 151–169. https://doi.org/10.1016/j.quascirev.2014.09.008</t>
  </si>
  <si>
    <t>Bronk Ramsey, C. (2009). Bayesian analysis of radiocarbon dates. Radiocarbon, 51(1), 337–360. https://doi.org/10.1017/S0033822200033865</t>
  </si>
  <si>
    <r>
      <t xml:space="preserve">Bronk Ramsey, C., Albert, P. G., Blockley, S. P. E., Hardiman, M., Housley, R. A., Lane, C. S., Lee, S., Matthews, I. P., Smith, V. C., &amp; Lowe, J. J. (2015). Improved age estimates for key Late Quaternary European tephra horizons in the RESET lattice. </t>
    </r>
    <r>
      <rPr>
        <i/>
        <sz val="12"/>
        <color theme="1"/>
        <rFont val="Calibri"/>
        <family val="2"/>
      </rPr>
      <t>Quaternary Science Reviews</t>
    </r>
    <r>
      <rPr>
        <sz val="12"/>
        <color theme="1"/>
        <rFont val="Calibri"/>
        <family val="2"/>
      </rPr>
      <t xml:space="preserve">, </t>
    </r>
    <r>
      <rPr>
        <i/>
        <sz val="12"/>
        <color theme="1"/>
        <rFont val="Calibri"/>
        <family val="2"/>
      </rPr>
      <t>118</t>
    </r>
    <r>
      <rPr>
        <sz val="12"/>
        <color theme="1"/>
        <rFont val="Calibri"/>
        <family val="2"/>
      </rPr>
      <t>, 18–32. https://doi.org/10.1016/j.quascirev.2014.11.007</t>
    </r>
  </si>
  <si>
    <r>
      <t xml:space="preserve">Coltelli, M., del Carlo, P., Pompilio, M., &amp; Vezzoli, L. (2005). Explosive eruption of a picrite: The 3930 BP subplinian eruption of Etna volcano (Italy). </t>
    </r>
    <r>
      <rPr>
        <i/>
        <sz val="12"/>
        <color theme="1"/>
        <rFont val="Calibri"/>
        <family val="2"/>
      </rPr>
      <t>Geophysical Research Letters</t>
    </r>
    <r>
      <rPr>
        <sz val="12"/>
        <color theme="1"/>
        <rFont val="Calibri"/>
        <family val="2"/>
      </rPr>
      <t xml:space="preserve">, </t>
    </r>
    <r>
      <rPr>
        <i/>
        <sz val="12"/>
        <color theme="1"/>
        <rFont val="Calibri"/>
        <family val="2"/>
      </rPr>
      <t>32</t>
    </r>
    <r>
      <rPr>
        <sz val="12"/>
        <color theme="1"/>
        <rFont val="Calibri"/>
        <family val="2"/>
      </rPr>
      <t>(23), Article L23307. https://doi.org/10.1029/2005GL024271</t>
    </r>
  </si>
  <si>
    <r>
      <t xml:space="preserve">de Alteriis, G., Insinga, D. D., Morabito, S., Morra, V., Chiocci, F. L., Terrasi, F., Lubritto, C., di Benedetto, C., &amp; Pazzanese, M. (2010). Age of submarine debris avalanches and tephrostratigraphy offshore Ischia Island, Tyrrhenian Sea, Italy. </t>
    </r>
    <r>
      <rPr>
        <i/>
        <sz val="12"/>
        <color theme="1"/>
        <rFont val="Calibri"/>
        <family val="2"/>
      </rPr>
      <t>Marine Geology</t>
    </r>
    <r>
      <rPr>
        <sz val="12"/>
        <color theme="1"/>
        <rFont val="Calibri"/>
        <family val="2"/>
      </rPr>
      <t xml:space="preserve">, </t>
    </r>
    <r>
      <rPr>
        <i/>
        <sz val="12"/>
        <color theme="1"/>
        <rFont val="Calibri"/>
        <family val="2"/>
      </rPr>
      <t>278</t>
    </r>
    <r>
      <rPr>
        <sz val="12"/>
        <color theme="1"/>
        <rFont val="Calibri"/>
        <family val="2"/>
      </rPr>
      <t>, 1–18. https://doi.org/10.1016/j.margeo.2010.08.004</t>
    </r>
  </si>
  <si>
    <r>
      <t xml:space="preserve">di Vito, M. A., Isaia, R., Orsi, G., Southon, J., de Vita, S., D’Antonio, M., Pappalardo, L., &amp; Piochi, M. (1999). Volcanism and deformation since 12,000 years at the Campi Flegrei caldera (Italy). </t>
    </r>
    <r>
      <rPr>
        <i/>
        <sz val="12"/>
        <color theme="1"/>
        <rFont val="Calibri"/>
        <family val="2"/>
      </rPr>
      <t>Journal of Volcanology and Geothermal Research</t>
    </r>
    <r>
      <rPr>
        <sz val="12"/>
        <color theme="1"/>
        <rFont val="Calibri"/>
        <family val="2"/>
      </rPr>
      <t xml:space="preserve">, </t>
    </r>
    <r>
      <rPr>
        <i/>
        <sz val="12"/>
        <color theme="1"/>
        <rFont val="Calibri"/>
        <family val="2"/>
      </rPr>
      <t>91</t>
    </r>
    <r>
      <rPr>
        <sz val="12"/>
        <color theme="1"/>
        <rFont val="Calibri"/>
        <family val="2"/>
      </rPr>
      <t>, 221–246. https://doi.org/10.1016/s0377-0273(99)00037-2</t>
    </r>
  </si>
  <si>
    <r>
      <t xml:space="preserve">Engels, S., Lane, C. S., Haliuc, A., Hoek, W. Z., Muschitiello, F., Baneschi, I., Bouwman, A., Bronk Ramsey, C., Collins, J., de Bruijn, R., Heiri, O., Hubay, K., Jones, G., Laug, A., Merkt, J., Müller, M., Peters, T., Peterse, F., Staff, R. A., … Wagner-Cremer, F. (2022). Synchronous vegetation response to the last glacial-interglacial transition in northwest Europe. </t>
    </r>
    <r>
      <rPr>
        <i/>
        <sz val="12"/>
        <color theme="1"/>
        <rFont val="Calibri"/>
        <family val="2"/>
      </rPr>
      <t>Communications Earth &amp; Environment</t>
    </r>
    <r>
      <rPr>
        <sz val="12"/>
        <color theme="1"/>
        <rFont val="Calibri"/>
        <family val="2"/>
      </rPr>
      <t xml:space="preserve">, </t>
    </r>
    <r>
      <rPr>
        <i/>
        <sz val="12"/>
        <color theme="1"/>
        <rFont val="Calibri"/>
        <family val="2"/>
      </rPr>
      <t>3</t>
    </r>
    <r>
      <rPr>
        <sz val="12"/>
        <color theme="1"/>
        <rFont val="Calibri"/>
        <family val="2"/>
      </rPr>
      <t>(1), Article 130. https://doi.org/10.1038/s43247-022-00457-y</t>
    </r>
  </si>
  <si>
    <r>
      <t xml:space="preserve">Friedrichs, B., Schindlbeck-Belo, J. C., Danišík, M., Jenkins, S. F., Yurteri, E., Çobankaya, M., Frische, M., Wang, K. L., Lee, H. Y., Atıcı, G., Schmitt, A. K., &amp; Sparks, R. S. J. (2020). New insights into source and dispersal of Mediterranean S1 tephra, an Early Holocene marker horizon erupted at Mt. Erciyes (Turkey). </t>
    </r>
    <r>
      <rPr>
        <i/>
        <sz val="12"/>
        <color theme="1"/>
        <rFont val="Calibri"/>
        <family val="2"/>
      </rPr>
      <t>Quaternary Science Reviews</t>
    </r>
    <r>
      <rPr>
        <sz val="12"/>
        <color theme="1"/>
        <rFont val="Calibri"/>
        <family val="2"/>
      </rPr>
      <t xml:space="preserve">, </t>
    </r>
    <r>
      <rPr>
        <i/>
        <sz val="12"/>
        <color theme="1"/>
        <rFont val="Calibri"/>
        <family val="2"/>
      </rPr>
      <t>249</t>
    </r>
    <r>
      <rPr>
        <sz val="12"/>
        <color theme="1"/>
        <rFont val="Calibri"/>
        <family val="2"/>
      </rPr>
      <t>, Article 106606. https://doi.org/10.1016/j.quascirev.2020.106606</t>
    </r>
  </si>
  <si>
    <r>
      <t xml:space="preserve">Grant, K. M., Rohling, E. J., Bar-Matthews, M., Ayalon, A., Medina-Elizalde, M., Bronk Ramsey, C., Satow, C., &amp; Roberts, A. P. (2012). Rapid coupling between ice volume and polar temperature over the past 150,000 years. </t>
    </r>
    <r>
      <rPr>
        <i/>
        <sz val="12"/>
        <color theme="1"/>
        <rFont val="Calibri"/>
        <family val="2"/>
      </rPr>
      <t>Nature</t>
    </r>
    <r>
      <rPr>
        <sz val="12"/>
        <color theme="1"/>
        <rFont val="Calibri"/>
        <family val="2"/>
      </rPr>
      <t xml:space="preserve">, </t>
    </r>
    <r>
      <rPr>
        <i/>
        <sz val="12"/>
        <color theme="1"/>
        <rFont val="Calibri"/>
        <family val="2"/>
      </rPr>
      <t>491</t>
    </r>
    <r>
      <rPr>
        <sz val="12"/>
        <color theme="1"/>
        <rFont val="Calibri"/>
        <family val="2"/>
      </rPr>
      <t>(7426), 744–747. https://doi.org/10.1038/nature11593</t>
    </r>
  </si>
  <si>
    <t>Hamann, Y., Wulf, S., Ersoy, O., Ehrmann, W., Aydar, E., &amp; Schmiedl, G. (2010). First evidence of a distal Early Holocene ash layer in eastern Mediterranean deep-sea sediments derived from the Anatolian volcanic province. Quaternary Research, 73(3), 497–506. https://doi.org/10.1016/j.yqres.2009.12.004</t>
  </si>
  <si>
    <t>Heaton, T. J., Köhler, P., Butzin, M., Bard, E., Reimer, R. W., Austin, W. E. N., Bronk Ramsey, C., Grootes, P. M., Hughen, K. A., Kromer, B., Reimer, P. J., Adkins, J., Burke, A., Cook, M. S., Olsen, J., &amp; Skinner, L. C. (2020). Marine20—the marine radiocarbon age calibration curve (0–55,000 cal BP). Radiocarbon, 62(4), 779–820. https://doi.org/10.1017/RDC.2020.68</t>
  </si>
  <si>
    <r>
      <t xml:space="preserve">Hubay, K., Molnár, M., Orbán, I., Braun, M., Bíró, T., &amp; Magyari, E. (2018). Age–depth relationship and accumulation rates in four sediment sequences from the Retezat Mts, South Carpathians (Romania). </t>
    </r>
    <r>
      <rPr>
        <i/>
        <sz val="12"/>
        <color theme="1"/>
        <rFont val="Calibri"/>
        <family val="2"/>
      </rPr>
      <t>Quaternary International</t>
    </r>
    <r>
      <rPr>
        <sz val="12"/>
        <color theme="1"/>
        <rFont val="Calibri"/>
        <family val="2"/>
      </rPr>
      <t xml:space="preserve">, </t>
    </r>
    <r>
      <rPr>
        <i/>
        <sz val="12"/>
        <color theme="1"/>
        <rFont val="Calibri"/>
        <family val="2"/>
      </rPr>
      <t>477</t>
    </r>
    <r>
      <rPr>
        <sz val="12"/>
        <color theme="1"/>
        <rFont val="Calibri"/>
        <family val="2"/>
      </rPr>
      <t>, 7–18. https://doi.org/10.1016/j.quaint.2016.09.019</t>
    </r>
  </si>
  <si>
    <t>Kearney, R. J., Albert, P. G., Staff, R. A., Magyari, E. K., Pál, I., Veres, D., Lane, C. S., McGuire, A., &amp; Bronk Ramsey, C. (2024). At an important tephrostratigraphic crossroads: Cryptotephra in Late Glacial to Early Holocene lake sediments from the Carpathian Mountains, Romania. Quaternary Science Reviews, 330, Article 108558. https://doi.org/10.1016/j.quascirev.2024.108558</t>
  </si>
  <si>
    <r>
      <t xml:space="preserve">Keller, J. (2002, September 29–October 2). </t>
    </r>
    <r>
      <rPr>
        <i/>
        <sz val="12"/>
        <color theme="1"/>
        <rFont val="Calibri"/>
        <family val="2"/>
      </rPr>
      <t>Lipari's fiery past: Dating the medieval pumice eruption of Monte Pilato</t>
    </r>
    <r>
      <rPr>
        <sz val="12"/>
        <color theme="1"/>
        <rFont val="Calibri"/>
        <family val="2"/>
      </rPr>
      <t xml:space="preserve"> [Conference presentation]. International Conference UNESCO–Regione Siciliana, Lipari, Italy.</t>
    </r>
  </si>
  <si>
    <r>
      <t xml:space="preserve">Leicher, N., Giaccio, B., Zanchetta, G., Sulpizio, R., Albert, P. G., Tomlinson, E. L., Lagos, M., Francke, A., &amp; Wagner, B. (2021). Lake Ohrid’s tephrochronological dataset reveals 1.36 Ma of Mediterranean explosive volcanic activity. </t>
    </r>
    <r>
      <rPr>
        <i/>
        <sz val="12"/>
        <color theme="1"/>
        <rFont val="Calibri"/>
        <family val="2"/>
      </rPr>
      <t>Scientific Data</t>
    </r>
    <r>
      <rPr>
        <sz val="12"/>
        <color theme="1"/>
        <rFont val="Calibri"/>
        <family val="2"/>
      </rPr>
      <t xml:space="preserve">, </t>
    </r>
    <r>
      <rPr>
        <i/>
        <sz val="12"/>
        <color theme="1"/>
        <rFont val="Calibri"/>
        <family val="2"/>
      </rPr>
      <t>8</t>
    </r>
    <r>
      <rPr>
        <sz val="12"/>
        <color theme="1"/>
        <rFont val="Calibri"/>
        <family val="2"/>
      </rPr>
      <t>(1), Article 231. https://doi.org/10.1038/s41597-021-01013-7</t>
    </r>
  </si>
  <si>
    <r>
      <t xml:space="preserve">Lirer, L., Rolandi, G., &amp; Rubin, M. (1991). 14C age of the “Museum Breccia” (Campi Flegrei) and its relevance for the origin of the Campanian Ignimbrite. </t>
    </r>
    <r>
      <rPr>
        <i/>
        <sz val="12"/>
        <color theme="1"/>
        <rFont val="Calibri"/>
        <family val="2"/>
      </rPr>
      <t>Journal of Volcanology and Geothermal Research</t>
    </r>
    <r>
      <rPr>
        <sz val="12"/>
        <color theme="1"/>
        <rFont val="Calibri"/>
        <family val="2"/>
      </rPr>
      <t xml:space="preserve">, </t>
    </r>
    <r>
      <rPr>
        <i/>
        <sz val="12"/>
        <color theme="1"/>
        <rFont val="Calibri"/>
        <family val="2"/>
      </rPr>
      <t>48</t>
    </r>
    <r>
      <rPr>
        <sz val="12"/>
        <color theme="1"/>
        <rFont val="Calibri"/>
        <family val="2"/>
      </rPr>
      <t>, 223–227. https://doi.org/10.1016/0377-0273(91)90044-Z</t>
    </r>
  </si>
  <si>
    <r>
      <t xml:space="preserve">Lohne, Ø. S., Mangerud, J., &amp; Birks, H. H. (2014). IntCal13 calibrated ages of the Vedde and Saksunarvatn ashes and the Younger Dryas boundaries from Kråkenes, western Norway. </t>
    </r>
    <r>
      <rPr>
        <i/>
        <sz val="12"/>
        <color theme="1"/>
        <rFont val="Calibri"/>
        <family val="2"/>
      </rPr>
      <t>Journal of Quaternary Science</t>
    </r>
    <r>
      <rPr>
        <sz val="12"/>
        <color theme="1"/>
        <rFont val="Calibri"/>
        <family val="2"/>
      </rPr>
      <t xml:space="preserve">, </t>
    </r>
    <r>
      <rPr>
        <i/>
        <sz val="12"/>
        <color theme="1"/>
        <rFont val="Calibri"/>
        <family val="2"/>
      </rPr>
      <t>29</t>
    </r>
    <r>
      <rPr>
        <sz val="12"/>
        <color theme="1"/>
        <rFont val="Calibri"/>
        <family val="2"/>
      </rPr>
      <t>(5), 506–507. https://doi.org/10.1002/jqs.2722</t>
    </r>
  </si>
  <si>
    <r>
      <t xml:space="preserve">Manning, S. W. (2022). Second Intermediate Period date for the Thera (Santorini) eruption and historical implications. </t>
    </r>
    <r>
      <rPr>
        <i/>
        <sz val="12"/>
        <color theme="1"/>
        <rFont val="Calibri"/>
        <family val="2"/>
      </rPr>
      <t>PLoS ONE</t>
    </r>
    <r>
      <rPr>
        <sz val="12"/>
        <color theme="1"/>
        <rFont val="Calibri"/>
        <family val="2"/>
      </rPr>
      <t xml:space="preserve">, </t>
    </r>
    <r>
      <rPr>
        <i/>
        <sz val="12"/>
        <color theme="1"/>
        <rFont val="Calibri"/>
        <family val="2"/>
      </rPr>
      <t>17</t>
    </r>
    <r>
      <rPr>
        <sz val="12"/>
        <color theme="1"/>
        <rFont val="Calibri"/>
        <family val="2"/>
      </rPr>
      <t>(9), Article e0274835. https://doi.org/10.1371/journal.pone.0274835</t>
    </r>
  </si>
  <si>
    <r>
      <t xml:space="preserve">Marianelli, P., Métrich, N., &amp; Sbrana, A. (1999). Shallow and deep reservoirs involved in magma supply of the 1944 eruption of Vesuvius. </t>
    </r>
    <r>
      <rPr>
        <i/>
        <sz val="12"/>
        <color theme="1"/>
        <rFont val="Calibri"/>
        <family val="2"/>
      </rPr>
      <t>Bulletin of Volcanology</t>
    </r>
    <r>
      <rPr>
        <sz val="12"/>
        <color theme="1"/>
        <rFont val="Calibri"/>
        <family val="2"/>
      </rPr>
      <t xml:space="preserve">, </t>
    </r>
    <r>
      <rPr>
        <i/>
        <sz val="12"/>
        <color theme="1"/>
        <rFont val="Calibri"/>
        <family val="2"/>
      </rPr>
      <t>61</t>
    </r>
    <r>
      <rPr>
        <sz val="12"/>
        <color theme="1"/>
        <rFont val="Calibri"/>
        <family val="2"/>
      </rPr>
      <t>(1–2), 48–63. https://doi.org/10.1007/s004450050262</t>
    </r>
  </si>
  <si>
    <r>
      <t xml:space="preserve">Nowaczyk, N. R., Arz, H. W., Frank, U., Kind, J., &amp; Plessen, B. (2012). Dynamics of the Laschamp geomagnetic excursion from Black Sea sediments. </t>
    </r>
    <r>
      <rPr>
        <i/>
        <sz val="12"/>
        <color theme="1"/>
        <rFont val="Calibri"/>
        <family val="2"/>
      </rPr>
      <t>Earth and Planetary Science Letters</t>
    </r>
    <r>
      <rPr>
        <sz val="12"/>
        <color theme="1"/>
        <rFont val="Calibri"/>
        <family val="2"/>
      </rPr>
      <t xml:space="preserve">, </t>
    </r>
    <r>
      <rPr>
        <i/>
        <sz val="12"/>
        <color theme="1"/>
        <rFont val="Calibri"/>
        <family val="2"/>
      </rPr>
      <t>351–352</t>
    </r>
    <r>
      <rPr>
        <sz val="12"/>
        <color theme="1"/>
        <rFont val="Calibri"/>
        <family val="2"/>
      </rPr>
      <t>, 54–69. https://doi.org/10.1016/j.epsl.2012.06.050</t>
    </r>
  </si>
  <si>
    <r>
      <t xml:space="preserve">Nowaczyk, N. R., Frank, U., Kind, J., &amp; Arz, H. W. (2013). A high-resolution paleointensity stack of the past 14 to 68 ka from Black Sea sediments. </t>
    </r>
    <r>
      <rPr>
        <i/>
        <sz val="12"/>
        <color theme="1"/>
        <rFont val="Calibri"/>
        <family val="2"/>
      </rPr>
      <t>Earth and Planetary Science Letters</t>
    </r>
    <r>
      <rPr>
        <sz val="12"/>
        <color theme="1"/>
        <rFont val="Calibri"/>
        <family val="2"/>
      </rPr>
      <t xml:space="preserve">, </t>
    </r>
    <r>
      <rPr>
        <i/>
        <sz val="12"/>
        <color theme="1"/>
        <rFont val="Calibri"/>
        <family val="2"/>
      </rPr>
      <t>384</t>
    </r>
    <r>
      <rPr>
        <sz val="12"/>
        <color theme="1"/>
        <rFont val="Calibri"/>
        <family val="2"/>
      </rPr>
      <t>, 1–16. https://doi.org/10.1016/j.epsl.2013.09.028</t>
    </r>
  </si>
  <si>
    <r>
      <t xml:space="preserve">Orsi, G., Piochi, M., Campajola, L., D’Onofrio, A., Gialanella, L., &amp; Terrasi, F. (1996). 14C geochronological constraints for the volcanic history of the island of Ischia (Italy) over the last 5000 years. </t>
    </r>
    <r>
      <rPr>
        <i/>
        <sz val="12"/>
        <color theme="1"/>
        <rFont val="Calibri"/>
        <family val="2"/>
      </rPr>
      <t>Journal of Volcanology and Geothermal Research</t>
    </r>
    <r>
      <rPr>
        <sz val="12"/>
        <color theme="1"/>
        <rFont val="Calibri"/>
        <family val="2"/>
      </rPr>
      <t xml:space="preserve">, </t>
    </r>
    <r>
      <rPr>
        <i/>
        <sz val="12"/>
        <color theme="1"/>
        <rFont val="Calibri"/>
        <family val="2"/>
      </rPr>
      <t>71</t>
    </r>
    <r>
      <rPr>
        <sz val="12"/>
        <color theme="1"/>
        <rFont val="Calibri"/>
        <family val="2"/>
      </rPr>
      <t>, 249–257. https://doi.org/10.1016/0377-0273(95)00067-4</t>
    </r>
  </si>
  <si>
    <r>
      <t xml:space="preserve">Pappalardo, L., Civetta, L., D’Antonio, M., Deino, A., di Vito, M. A., Orsi, G., Carandente, A., de Vita, S., Isaia, R., &amp; Piochi, M. (1999). Chemical and Sr-isotopical evolution of the Phlegraean magmatic system before the Campanian Ignimbrite and the Neapolitan Yellow Tuff eruptions. </t>
    </r>
    <r>
      <rPr>
        <i/>
        <sz val="12"/>
        <color theme="1"/>
        <rFont val="Calibri"/>
        <family val="2"/>
      </rPr>
      <t>Journal of Volcanology and Geothermal Research</t>
    </r>
    <r>
      <rPr>
        <sz val="12"/>
        <color theme="1"/>
        <rFont val="Calibri"/>
        <family val="2"/>
      </rPr>
      <t xml:space="preserve">, </t>
    </r>
    <r>
      <rPr>
        <i/>
        <sz val="12"/>
        <color theme="1"/>
        <rFont val="Calibri"/>
        <family val="2"/>
      </rPr>
      <t>91</t>
    </r>
    <r>
      <rPr>
        <sz val="12"/>
        <color theme="1"/>
        <rFont val="Calibri"/>
        <family val="2"/>
      </rPr>
      <t>, 141–166. https://doi.org/10.1016/s0377-0273(99)00033-5</t>
    </r>
  </si>
  <si>
    <r>
      <t xml:space="preserve">Pistolesi, M., Rosi, M., Malaguti, A. B., Lucchi, F., Tranne, C. A., Speranza, F., Albert, P. G., Smith, V. C., di Roberto, A., &amp; Billotta, E. (2021). Chrono-stratigraphy of the youngest (last 1500 years) rhyolitic eruptions of Lipari (Aeolian Islands, southern Italy) and implications for distal tephra correlations. </t>
    </r>
    <r>
      <rPr>
        <i/>
        <sz val="12"/>
        <color theme="1"/>
        <rFont val="Calibri"/>
        <family val="2"/>
      </rPr>
      <t>Journal of Volcanology and Geothermal Research</t>
    </r>
    <r>
      <rPr>
        <sz val="12"/>
        <color theme="1"/>
        <rFont val="Calibri"/>
        <family val="2"/>
      </rPr>
      <t xml:space="preserve">, </t>
    </r>
    <r>
      <rPr>
        <i/>
        <sz val="12"/>
        <color theme="1"/>
        <rFont val="Calibri"/>
        <family val="2"/>
      </rPr>
      <t>420</t>
    </r>
    <r>
      <rPr>
        <sz val="12"/>
        <color theme="1"/>
        <rFont val="Calibri"/>
        <family val="2"/>
      </rPr>
      <t>, Article 107397. https://doi.org/10.1016/j.jvolgeores.2021.107397</t>
    </r>
  </si>
  <si>
    <r>
      <t xml:space="preserve">Poli, S., Chiesa, S., Gillot, P. Y., Gregnanin, A., &amp; Guichard, F. (1987). Chemistry versus time in the volcanic complex of Ischia (Gulf of Naples, Italy): Evidence of successive magmatic cycles. </t>
    </r>
    <r>
      <rPr>
        <i/>
        <sz val="12"/>
        <color theme="1"/>
        <rFont val="Calibri"/>
        <family val="2"/>
      </rPr>
      <t>Contributions to Mineralogy and Petrology</t>
    </r>
    <r>
      <rPr>
        <sz val="12"/>
        <color theme="1"/>
        <rFont val="Calibri"/>
        <family val="2"/>
      </rPr>
      <t xml:space="preserve">, </t>
    </r>
    <r>
      <rPr>
        <i/>
        <sz val="12"/>
        <color theme="1"/>
        <rFont val="Calibri"/>
        <family val="2"/>
      </rPr>
      <t>95</t>
    </r>
    <r>
      <rPr>
        <sz val="12"/>
        <color theme="1"/>
        <rFont val="Calibri"/>
        <family val="2"/>
      </rPr>
      <t>(3), 322–335. https://doi.org/10.1007/BF00371846</t>
    </r>
  </si>
  <si>
    <t>Razum, I., Miko, S., Ilijanić, N., Petrelli, M., Röhl, U., Hasan, O., &amp; Giaccio, B. (2020). Holocene tephra record of Lake Veliko jezero, Croatia: Implications for the central Mediterranean tephrostratigraphy and sea level rise. Boreas, 49(3), 653–673. https://doi.org/10.1111/bor.12446</t>
  </si>
  <si>
    <t>Reimer, P. J., Austin, W. E. N., Bard, E., Bayliss, A., Blackwell, P. G., Bronk Ramsey, C., Butzin, M., Cheng, H., Edwards, R. L., Friedrich, M., Grootes, P. M., Guilderson, T. P., Hajdas, I., Heaton, T. J., Hogg, A. G., Hughen, K. A., Kromer, B., Manning, S. W., Muscheler, R., … Talamo, S. (2020). The IntCal20 Northern Hemisphere radiocarbon age calibration curve (0–55 cal kBP). Radiocarbon, 62(4), 725–757. https://doi.org/10.1017/RDC.2020.41</t>
  </si>
  <si>
    <r>
      <t xml:space="preserve">Reinig, F., Wacker, L., Jöris, O., Oppenheimer, C., Guidobaldi, G., Nievergelt, D., Adolphi, F., Cherubini, P., Engels, S., Esper, J., Land, A., Lane, C., Pfanz, H., Remmele, S., Sigl, M., Sookdeo, A., &amp; Büntgen, U. (2021). Precise date for the Laacher See eruption synchronizes the Younger Dryas. </t>
    </r>
    <r>
      <rPr>
        <i/>
        <sz val="12"/>
        <color theme="1"/>
        <rFont val="Calibri"/>
        <family val="2"/>
      </rPr>
      <t>Nature</t>
    </r>
    <r>
      <rPr>
        <sz val="12"/>
        <color theme="1"/>
        <rFont val="Calibri"/>
        <family val="2"/>
      </rPr>
      <t xml:space="preserve">, </t>
    </r>
    <r>
      <rPr>
        <i/>
        <sz val="12"/>
        <color theme="1"/>
        <rFont val="Calibri"/>
        <family val="2"/>
      </rPr>
      <t>595</t>
    </r>
    <r>
      <rPr>
        <sz val="12"/>
        <color theme="1"/>
        <rFont val="Calibri"/>
        <family val="2"/>
      </rPr>
      <t>(7865), 66–69. https://doi.org/10.1038/s41586-021-03608-x</t>
    </r>
  </si>
  <si>
    <r>
      <t xml:space="preserve">Rolandi, G., Petrosino, P., &amp; McGeehin, J. (1998). The interplinian activity at Somma–Vesuvius in the last 3500 years. </t>
    </r>
    <r>
      <rPr>
        <i/>
        <sz val="12"/>
        <color theme="1"/>
        <rFont val="Calibri"/>
        <family val="2"/>
      </rPr>
      <t>Journal of Volcanology and Geothermal Research</t>
    </r>
    <r>
      <rPr>
        <sz val="12"/>
        <color theme="1"/>
        <rFont val="Calibri"/>
        <family val="2"/>
      </rPr>
      <t xml:space="preserve">, </t>
    </r>
    <r>
      <rPr>
        <i/>
        <sz val="12"/>
        <color theme="1"/>
        <rFont val="Calibri"/>
        <family val="2"/>
      </rPr>
      <t>82</t>
    </r>
    <r>
      <rPr>
        <sz val="12"/>
        <color theme="1"/>
        <rFont val="Calibri"/>
        <family val="2"/>
      </rPr>
      <t>, 19–52. https://doi.org/10.1016/s0377-0273(97)00056-5</t>
    </r>
  </si>
  <si>
    <r>
      <t xml:space="preserve">Sadori, L., &amp; Narcisi, B. (2001). The postglacial record of environmental history from Lago di Pergusa, Sicily. </t>
    </r>
    <r>
      <rPr>
        <i/>
        <sz val="12"/>
        <color theme="1"/>
        <rFont val="Calibri"/>
        <family val="2"/>
      </rPr>
      <t>The Holocene</t>
    </r>
    <r>
      <rPr>
        <sz val="12"/>
        <color theme="1"/>
        <rFont val="Calibri"/>
        <family val="2"/>
      </rPr>
      <t xml:space="preserve">, </t>
    </r>
    <r>
      <rPr>
        <i/>
        <sz val="12"/>
        <color theme="1"/>
        <rFont val="Calibri"/>
        <family val="2"/>
      </rPr>
      <t>11</t>
    </r>
    <r>
      <rPr>
        <sz val="12"/>
        <color theme="1"/>
        <rFont val="Calibri"/>
        <family val="2"/>
      </rPr>
      <t>(6), 655–671. https://doi.org/10.1191/09596830195681</t>
    </r>
  </si>
  <si>
    <r>
      <t xml:space="preserve">Santacroce, R., Cioni, R., Marianelli, P., Sbrana, A., Sulpizio, R., Zanchetta, G., Donahue, D. J., &amp; Joron, J. L. (2008). Age and whole rock–glass compositions of proximal pyroclastics from the major explosive eruptions of Somma-Vesuvius: A review as a tool for distal tephrostratigraphy. </t>
    </r>
    <r>
      <rPr>
        <i/>
        <sz val="12"/>
        <color theme="1"/>
        <rFont val="Calibri"/>
        <family val="2"/>
      </rPr>
      <t>Journal of Volcanology and Geothermal Research</t>
    </r>
    <r>
      <rPr>
        <sz val="12"/>
        <color theme="1"/>
        <rFont val="Calibri"/>
        <family val="2"/>
      </rPr>
      <t xml:space="preserve">, </t>
    </r>
    <r>
      <rPr>
        <i/>
        <sz val="12"/>
        <color theme="1"/>
        <rFont val="Calibri"/>
        <family val="2"/>
      </rPr>
      <t>177</t>
    </r>
    <r>
      <rPr>
        <sz val="12"/>
        <color theme="1"/>
        <rFont val="Calibri"/>
        <family val="2"/>
      </rPr>
      <t>, 1–18. https://doi.org/10.1016/j.jvolgeores.2008.06.009</t>
    </r>
  </si>
  <si>
    <r>
      <t xml:space="preserve">Sarıkaya, M. A., Zreda, M., &amp; Çiner, A. (2009). Glaciations and paleoclimate of Mount Erciyes, central Turkey, since the Last Glacial Maximum, inferred from 36Cl cosmogenic dating and glacier modeling. </t>
    </r>
    <r>
      <rPr>
        <i/>
        <sz val="12"/>
        <color theme="1"/>
        <rFont val="Calibri"/>
        <family val="2"/>
      </rPr>
      <t>Quaternary Science Reviews</t>
    </r>
    <r>
      <rPr>
        <sz val="12"/>
        <color theme="1"/>
        <rFont val="Calibri"/>
        <family val="2"/>
      </rPr>
      <t xml:space="preserve">, </t>
    </r>
    <r>
      <rPr>
        <i/>
        <sz val="12"/>
        <color theme="1"/>
        <rFont val="Calibri"/>
        <family val="2"/>
      </rPr>
      <t>28</t>
    </r>
    <r>
      <rPr>
        <sz val="12"/>
        <color theme="1"/>
        <rFont val="Calibri"/>
        <family val="2"/>
      </rPr>
      <t>, 2326–2341. https://doi.org/10.1016/j.quascirev.2009.04.015</t>
    </r>
  </si>
  <si>
    <r>
      <t xml:space="preserve">Schmincke, H. U., &amp; Sumita, M. (2014). Impact of volcanism on the evolution of Lake Van (eastern Anatolia) III: Periodic (Nemrut) vs. episodic (Süphan) explosive eruptions and climate forcing reflected in a tephra gap between ca. 14 ka and ca. 30 ka. </t>
    </r>
    <r>
      <rPr>
        <i/>
        <sz val="12"/>
        <color theme="1"/>
        <rFont val="Calibri"/>
        <family val="2"/>
      </rPr>
      <t>Journal of Volcanology and Geothermal Research</t>
    </r>
    <r>
      <rPr>
        <sz val="12"/>
        <color theme="1"/>
        <rFont val="Calibri"/>
        <family val="2"/>
      </rPr>
      <t xml:space="preserve">, </t>
    </r>
    <r>
      <rPr>
        <i/>
        <sz val="12"/>
        <color theme="1"/>
        <rFont val="Calibri"/>
        <family val="2"/>
      </rPr>
      <t>285</t>
    </r>
    <r>
      <rPr>
        <sz val="12"/>
        <color theme="1"/>
        <rFont val="Calibri"/>
        <family val="2"/>
      </rPr>
      <t>, 195–213. https://doi.org/10.1016/j.jvolgeores.2014.08.015</t>
    </r>
  </si>
  <si>
    <r>
      <t xml:space="preserve">Schmitt, A. K., Danišík, M., Evans, N. J., Siebel, W., Kiemele, E., Aydin, F., &amp; Harvey, J. C. (2011). Acigöl rhyolite field, Central Anatolia (part 1): High-resolution dating of eruption episodes and zircon growth rates. </t>
    </r>
    <r>
      <rPr>
        <i/>
        <sz val="12"/>
        <color theme="1"/>
        <rFont val="Calibri"/>
        <family val="2"/>
      </rPr>
      <t>Contributions to Mineralogy and Petrology</t>
    </r>
    <r>
      <rPr>
        <sz val="12"/>
        <color theme="1"/>
        <rFont val="Calibri"/>
        <family val="2"/>
      </rPr>
      <t xml:space="preserve">, </t>
    </r>
    <r>
      <rPr>
        <i/>
        <sz val="12"/>
        <color theme="1"/>
        <rFont val="Calibri"/>
        <family val="2"/>
      </rPr>
      <t>162</t>
    </r>
    <r>
      <rPr>
        <sz val="12"/>
        <color theme="1"/>
        <rFont val="Calibri"/>
        <family val="2"/>
      </rPr>
      <t>(6), 1215–1231. https://doi.org/10.1007/s00410-011-0648-x</t>
    </r>
  </si>
  <si>
    <r>
      <t xml:space="preserve">Schneider, R. (1977). Pollenanalytische Untersuchungen zur Kenntnis der spät- und postglazialen Vegetationsgeschichte am Südrand der Alpen zwischen Turin und Varese (Italien). </t>
    </r>
    <r>
      <rPr>
        <i/>
        <sz val="12"/>
        <color theme="1"/>
        <rFont val="Calibri"/>
        <family val="2"/>
      </rPr>
      <t>Botanische Jahrbücher für Systematik</t>
    </r>
    <r>
      <rPr>
        <sz val="12"/>
        <color theme="1"/>
        <rFont val="Calibri"/>
        <family val="2"/>
      </rPr>
      <t xml:space="preserve">, </t>
    </r>
    <r>
      <rPr>
        <i/>
        <sz val="12"/>
        <color theme="1"/>
        <rFont val="Calibri"/>
        <family val="2"/>
      </rPr>
      <t>100</t>
    </r>
    <r>
      <rPr>
        <sz val="12"/>
        <color theme="1"/>
        <rFont val="Calibri"/>
        <family val="2"/>
      </rPr>
      <t>, 26–109.</t>
    </r>
  </si>
  <si>
    <r>
      <t xml:space="preserve">Sevink, J., Bakels, C. C., van Hall, R. L., &amp; Dee, M. W. (2021). Radiocarbon dating distal tephra from the Early Bronze Age Avellino eruption (EU-5) in the coastal basins of southern Lazio (Italy): Uncertainties, results, and implications for dating distal tephra. </t>
    </r>
    <r>
      <rPr>
        <i/>
        <sz val="12"/>
        <color theme="1"/>
        <rFont val="Calibri"/>
        <family val="2"/>
      </rPr>
      <t>Quaternary Geochronology</t>
    </r>
    <r>
      <rPr>
        <sz val="12"/>
        <color theme="1"/>
        <rFont val="Calibri"/>
        <family val="2"/>
      </rPr>
      <t xml:space="preserve">, </t>
    </r>
    <r>
      <rPr>
        <i/>
        <sz val="12"/>
        <color theme="1"/>
        <rFont val="Calibri"/>
        <family val="2"/>
      </rPr>
      <t>63</t>
    </r>
    <r>
      <rPr>
        <sz val="12"/>
        <color theme="1"/>
        <rFont val="Calibri"/>
        <family val="2"/>
      </rPr>
      <t>, Article 101154. https://doi.org/10.1016/j.quageo.2021.101154</t>
    </r>
  </si>
  <si>
    <r>
      <t xml:space="preserve">Seymour, K. S., Christanis, K., Bouzinos, A., Papazisimou, S., Papatheodorou, G., Moran, E., &amp; Dénès, G. (2004). Tephrostratigraphy and tephrochronology in the Philippi peat basin, Macedonia, northern Hellas (Greece). </t>
    </r>
    <r>
      <rPr>
        <i/>
        <sz val="12"/>
        <color theme="1"/>
        <rFont val="Calibri"/>
        <family val="2"/>
      </rPr>
      <t>Quaternary International</t>
    </r>
    <r>
      <rPr>
        <sz val="12"/>
        <color theme="1"/>
        <rFont val="Calibri"/>
        <family val="2"/>
      </rPr>
      <t xml:space="preserve">, </t>
    </r>
    <r>
      <rPr>
        <i/>
        <sz val="12"/>
        <color theme="1"/>
        <rFont val="Calibri"/>
        <family val="2"/>
      </rPr>
      <t>121</t>
    </r>
    <r>
      <rPr>
        <sz val="12"/>
        <color theme="1"/>
        <rFont val="Calibri"/>
        <family val="2"/>
      </rPr>
      <t>, 53–65. https://doi.org/10.1016/j.quaint.2004.01.023</t>
    </r>
  </si>
  <si>
    <r>
      <t xml:space="preserve">Siani, G., Sulpizio, R., Paterne, M., &amp; Sbrana, A. (2004). Tephrostratigraphy study for the last 18,000 14C years in a deep-sea sediment sequence for the south Adriatic. </t>
    </r>
    <r>
      <rPr>
        <i/>
        <sz val="12"/>
        <color theme="1"/>
        <rFont val="Calibri"/>
        <family val="2"/>
      </rPr>
      <t>Quaternary Science Reviews</t>
    </r>
    <r>
      <rPr>
        <sz val="12"/>
        <color theme="1"/>
        <rFont val="Calibri"/>
        <family val="2"/>
      </rPr>
      <t xml:space="preserve">, </t>
    </r>
    <r>
      <rPr>
        <i/>
        <sz val="12"/>
        <color theme="1"/>
        <rFont val="Calibri"/>
        <family val="2"/>
      </rPr>
      <t>23</t>
    </r>
    <r>
      <rPr>
        <sz val="12"/>
        <color theme="1"/>
        <rFont val="Calibri"/>
        <family val="2"/>
      </rPr>
      <t>, 2485–2500. https://doi.org/10.1016/j.quascirev.2004.06.004</t>
    </r>
  </si>
  <si>
    <r>
      <t xml:space="preserve">Smith, V. C., Isaia, R., &amp; Pearce, N. J. G. (2011). Tephrostratigraphy and glass compositions of post-15 kyr Campi Flegrei eruptions: Implications for eruption history and chronostratigraphic markers. </t>
    </r>
    <r>
      <rPr>
        <i/>
        <sz val="12"/>
        <color theme="1"/>
        <rFont val="Calibri"/>
        <family val="2"/>
      </rPr>
      <t>Quaternary Science Reviews</t>
    </r>
    <r>
      <rPr>
        <sz val="12"/>
        <color theme="1"/>
        <rFont val="Calibri"/>
        <family val="2"/>
      </rPr>
      <t xml:space="preserve">, </t>
    </r>
    <r>
      <rPr>
        <i/>
        <sz val="12"/>
        <color theme="1"/>
        <rFont val="Calibri"/>
        <family val="2"/>
      </rPr>
      <t>30</t>
    </r>
    <r>
      <rPr>
        <sz val="12"/>
        <color theme="1"/>
        <rFont val="Calibri"/>
        <family val="2"/>
      </rPr>
      <t>, 3638–3660. https://doi.org/10.1016/j.quascirev.2011.07.012</t>
    </r>
  </si>
  <si>
    <r>
      <t xml:space="preserve">Tanguy, J. C., le Goff, M., Principe, C., Arrighi, S., Chillemi, V., Paiotti, A., la Delfa, S., &amp; Patanè, G. (2003). Archeomagnetic dating of Mediterranean volcanics of the last 2100 years: Validity and limits. </t>
    </r>
    <r>
      <rPr>
        <i/>
        <sz val="12"/>
        <color theme="1"/>
        <rFont val="Calibri"/>
        <family val="2"/>
      </rPr>
      <t>Earth and Planetary Science Letters</t>
    </r>
    <r>
      <rPr>
        <sz val="12"/>
        <color theme="1"/>
        <rFont val="Calibri"/>
        <family val="2"/>
      </rPr>
      <t xml:space="preserve">, </t>
    </r>
    <r>
      <rPr>
        <i/>
        <sz val="12"/>
        <color theme="1"/>
        <rFont val="Calibri"/>
        <family val="2"/>
      </rPr>
      <t>211</t>
    </r>
    <r>
      <rPr>
        <sz val="12"/>
        <color theme="1"/>
        <rFont val="Calibri"/>
        <family val="2"/>
      </rPr>
      <t>, 111–124. https://doi.org/10.1016/s0012-821X(03)00186-9</t>
    </r>
  </si>
  <si>
    <r>
      <t xml:space="preserve">Wulf, S., Kraml, M., &amp; Keller, J. (2008). Towards a detailed distal tephrostratigraphy in the central Mediterranean: The last 20,000 yrs record of Lago Grande di Monticchio. </t>
    </r>
    <r>
      <rPr>
        <i/>
        <sz val="12"/>
        <color theme="1"/>
        <rFont val="Calibri"/>
        <family val="2"/>
      </rPr>
      <t>Journal of Volcanology and Geothermal Research</t>
    </r>
    <r>
      <rPr>
        <sz val="12"/>
        <color theme="1"/>
        <rFont val="Calibri"/>
        <family val="2"/>
      </rPr>
      <t xml:space="preserve">, </t>
    </r>
    <r>
      <rPr>
        <i/>
        <sz val="12"/>
        <color theme="1"/>
        <rFont val="Calibri"/>
        <family val="2"/>
      </rPr>
      <t>177</t>
    </r>
    <r>
      <rPr>
        <sz val="12"/>
        <color theme="1"/>
        <rFont val="Calibri"/>
        <family val="2"/>
      </rPr>
      <t>, 118–132. https://doi.org/10.1016/j.jvolgeores.2007.10.009</t>
    </r>
  </si>
  <si>
    <r>
      <t xml:space="preserve">Wulf, S., Kraml, M., Brauer, A., Keller, J., &amp; Negendank, J. F. W. (2004). Tephrochronology of the 100 ka lacustrine sediment record of Lago Grande di Monticchio (southern Italy). </t>
    </r>
    <r>
      <rPr>
        <i/>
        <sz val="12"/>
        <color theme="1"/>
        <rFont val="Calibri"/>
        <family val="2"/>
      </rPr>
      <t>Quaternary International</t>
    </r>
    <r>
      <rPr>
        <sz val="12"/>
        <color theme="1"/>
        <rFont val="Calibri"/>
        <family val="2"/>
      </rPr>
      <t xml:space="preserve">, </t>
    </r>
    <r>
      <rPr>
        <i/>
        <sz val="12"/>
        <color theme="1"/>
        <rFont val="Calibri"/>
        <family val="2"/>
      </rPr>
      <t>122</t>
    </r>
    <r>
      <rPr>
        <sz val="12"/>
        <color theme="1"/>
        <rFont val="Calibri"/>
        <family val="2"/>
      </rPr>
      <t>, 7–30. https://doi.org/10.1016/j.quaint.2004.01.028</t>
    </r>
  </si>
  <si>
    <t>Matthews et al. (2015); Abbott (2005); Piva et al. (2008); Satow (2008)</t>
  </si>
  <si>
    <t>NA</t>
  </si>
  <si>
    <t>Sodmein Cave</t>
  </si>
  <si>
    <t>Trifo master core </t>
  </si>
  <si>
    <t>PRAD 1-2</t>
  </si>
  <si>
    <t>Bourne et al. (2010)</t>
  </si>
  <si>
    <t>Pelekita Cave</t>
  </si>
  <si>
    <t>Çagatay et al. (2015)</t>
  </si>
  <si>
    <t>Caron et al. (2010)</t>
  </si>
  <si>
    <t>Riparo di Venere</t>
  </si>
  <si>
    <t>Haua Fteah</t>
  </si>
  <si>
    <t>Golhisar Golu</t>
  </si>
  <si>
    <t>Eastwood et al. (1999); Pearce et al. (2002)</t>
  </si>
  <si>
    <t>Federman and Carey (1980)</t>
  </si>
  <si>
    <t>Federman and Carey 1980; Hardiman 1999</t>
  </si>
  <si>
    <t>Slivata 2</t>
  </si>
  <si>
    <t>Lago Piccolo di Avigliana</t>
  </si>
  <si>
    <t>Finsinger et al. (2008); Lane et al. (2012)</t>
  </si>
  <si>
    <t>DEEP/ ICDP5045-1</t>
  </si>
  <si>
    <t>Francke et al. (2019)</t>
  </si>
  <si>
    <t>Black Sea GGC 24</t>
  </si>
  <si>
    <t>Black Sea GGC 59</t>
  </si>
  <si>
    <t>Black Sea GGC 71</t>
  </si>
  <si>
    <t>Black Sea GGC 79</t>
  </si>
  <si>
    <t>Guilizzoni et al. (2002)</t>
  </si>
  <si>
    <t>GeoTu SL112</t>
  </si>
  <si>
    <t>MSK-12 C1</t>
  </si>
  <si>
    <t>Malo Jezero MJ1</t>
  </si>
  <si>
    <t>Veliko Jezero VJ1</t>
  </si>
  <si>
    <t>Lake Brazi</t>
  </si>
  <si>
    <t>Lake Lia</t>
  </si>
  <si>
    <t>GeoB 7622-2</t>
  </si>
  <si>
    <t>GeoB 7624-1</t>
  </si>
  <si>
    <t>GeoB 7625-2</t>
  </si>
  <si>
    <t>Lago di Lavarone</t>
  </si>
  <si>
    <t>Lake Bled</t>
  </si>
  <si>
    <t>DEEP core</t>
  </si>
  <si>
    <t>Precise age models not provided. Ages constrained by tephra layers instead; in reality longer sections of the cores likely were sampled</t>
  </si>
  <si>
    <t>Lake Accesa (AC3/4 core)</t>
  </si>
  <si>
    <t>KET 80-04</t>
  </si>
  <si>
    <t>KET 80-03</t>
  </si>
  <si>
    <t>KET 80-11</t>
  </si>
  <si>
    <t>San Gregorio Magno</t>
  </si>
  <si>
    <t>Lago di Vico</t>
  </si>
  <si>
    <t>"From the overlapping Dead Sea core sections DSEn-A13u and DSEn-B11u, 21 samples were taken from 17.11 to 18.16 m composite depth covering the time interval between 8758 ± 71 and 9138 ± 73 cal yr BP"</t>
  </si>
  <si>
    <t>ICDP Dead Sea core 5017-1</t>
  </si>
  <si>
    <t>Prato Spilla C</t>
  </si>
  <si>
    <t>No ref given in RESET</t>
  </si>
  <si>
    <t>BAN-84 01 GC</t>
  </si>
  <si>
    <t>BAN-84 08 GC</t>
  </si>
  <si>
    <t>BAN-84 10 PC</t>
  </si>
  <si>
    <t>KET 80-22</t>
  </si>
  <si>
    <t>KET 82-18</t>
  </si>
  <si>
    <t>Vela Spila</t>
  </si>
  <si>
    <t>M1-A</t>
  </si>
  <si>
    <t>Lago di Pergusa</t>
  </si>
  <si>
    <t>Gölcük cores</t>
  </si>
  <si>
    <t>ND14Q </t>
  </si>
  <si>
    <t>Vogel et al. (2009)</t>
  </si>
  <si>
    <t>ODP Site 967</t>
  </si>
  <si>
    <t>ODP Site 968</t>
  </si>
  <si>
    <t>Sea of Marmara core 20KLG</t>
  </si>
  <si>
    <t>Sea of Marmara core 21KL</t>
  </si>
  <si>
    <t>Sea of Marmara core 40KL</t>
  </si>
  <si>
    <t>Lago Grande di Monticchio</t>
  </si>
  <si>
    <t>Wulf et al. (2004)</t>
  </si>
  <si>
    <t>Type</t>
  </si>
  <si>
    <t>Marine</t>
  </si>
  <si>
    <t>Terrestrial</t>
  </si>
  <si>
    <t>Calanchi et al. (1996)</t>
  </si>
  <si>
    <t>Max = calibrated 14 C date 10812 ± 107 at 374 cm. The core extends beyond this but no further age controls provided. Min age constraint from 1779 CE eruption</t>
  </si>
  <si>
    <t>del Carlo et al. (2020)</t>
  </si>
  <si>
    <t xml:space="preserve">16111	</t>
  </si>
  <si>
    <t xml:space="preserve">Max age = 13448 ± 59 14C yrs BP date obtained at base of core. Calibrated (Marine20). ΔR = -53. Uncertainty = 61. Derived from mean of 5 ΔR values from nearest sites in calib.org database </t>
  </si>
  <si>
    <t>Freydier et al. (2001); Insinga et al. (2020)</t>
  </si>
  <si>
    <t>Kearney et al. (2024); Hubay et al. (2018)</t>
  </si>
  <si>
    <t>Lake</t>
  </si>
  <si>
    <t>Extrapolated from recalibrated dates from Hubay et al. (2018)</t>
  </si>
  <si>
    <t>Read off Hubay et al. (2018) age model figure</t>
  </si>
  <si>
    <t>Given as 200 BCE to 600 BCE</t>
  </si>
  <si>
    <t>Kwiecien et al. (2008)</t>
  </si>
  <si>
    <t>Samples were taken between 89.30 and 94.09 m sediment depth below lake floor. Calibrated 14 C date of 11440 ± 119 yrs BP at the top of the investigated sequence, and 14144 ± 190 yrs BP towards base (read from Figure 1). Presumably calibrated with IntCal20. The full sequence extends far beyond this date</t>
  </si>
  <si>
    <t>Focuses only on the Minoan (Z2) tephra</t>
  </si>
  <si>
    <t>"The oldest reliable age originating from the bottom of the composite core is 4723 cal BP". Age depth model is based on cross correlation of 14C dates from associated cores</t>
  </si>
  <si>
    <t>Long sequence extending beyond 25 ka</t>
  </si>
  <si>
    <t>Totaro et al. (2022); Jalali et al. (2018)</t>
  </si>
  <si>
    <t>Top assumed to be modern. Max age = calibrated (IntCal20) 14C date of 10815 ± 160 on plant macroremains</t>
  </si>
  <si>
    <t>Top assumed to be modern. Max age = calibrated (Marine20) 14C date of 16903 ± 123 yrs BP on planktonic foraminifera obtained on core ND14Q_AR2 but correlated to core ND14Q. ΔR = 25. Uncertainty = 76</t>
  </si>
  <si>
    <t>Längsee LG99</t>
  </si>
  <si>
    <t>Längsee LG99</t>
  </si>
  <si>
    <t>PhT1</t>
  </si>
  <si>
    <t>Radiocarbon age was obtained on terrestrial material below tephra layer. However, several other radiocarbon age determinations (Christanis, 1983) on similar material in the Philippi fen yielded an average age of 13900 yrs BP, so the authors suggest an age of 13000 yrs BP. An uncertainty of 500 yrs is applied arbitrarily</t>
  </si>
  <si>
    <t>Seymour et al. (2004); Christanis (1983)</t>
  </si>
  <si>
    <r>
      <t xml:space="preserve">Christanis, K. (1983). </t>
    </r>
    <r>
      <rPr>
        <i/>
        <sz val="12"/>
        <color theme="1"/>
        <rFont val="Calibri"/>
        <family val="2"/>
      </rPr>
      <t>Genese und Fazies der Torf-Lagerstätte von Philippi (Griechisch-Mazedonien) als Beispiel der Entstehung einer Braunkohlen-Lagerstätte vom stark telmatischen.</t>
    </r>
    <r>
      <rPr>
        <sz val="12"/>
        <color theme="1"/>
        <rFont val="Calibri"/>
        <family val="2"/>
      </rPr>
      <t xml:space="preserve"> [PhD Dissertation, Technical University, Braunschweig].</t>
    </r>
  </si>
  <si>
    <t>Long sequence containing a tephra layer correlated with the Campanian Ignimbrite, thus extending beyond 25 ka. 14 C dates only reported above and below tephra layers. Min age = min calibrated (IntCal20) 14C date reported (10152 ± 57)</t>
  </si>
  <si>
    <t>Min age = calibrated (Marine20) 14C age (610 ± 60) ~ essentially present. Max age = calibrated (Marine 20) 14C age (17450 ± 140). ΔR = 25. Uncertainty = 76</t>
  </si>
  <si>
    <t>Radiocarbon dates obtained through the core, above and below identified tephra layer. Min age = calibrated (Intcal20) 14C age (1640 ± 70). Max age = calibrated (IntCal20) 14C age (7400 ± 140)</t>
  </si>
  <si>
    <t xml:space="preserve">Long sequence extending up to 163 ka </t>
  </si>
  <si>
    <t xml:space="preserve">21353		</t>
  </si>
  <si>
    <t xml:space="preserve">Constrained by tephra occurrences (Cape Riva). Core obtained on RC0911B cruise of Robert D. Conrad; detailed stratigraphic information not provided </t>
  </si>
  <si>
    <t xml:space="preserve">Constrained by tephra occurrences (Biancavilla Montalto and Campanian Ignimbrite). Core obtained on RC0911B cruise of Robert D. Conrad; detailed stratigraphic information not provided </t>
  </si>
  <si>
    <t>Constrained by tephra occurrences (Minoan Z2). Core obtained on V1008 cruise of Vema; detailed stratigraphic information not provided</t>
  </si>
  <si>
    <t>Constrained by tephra occurrences (Minoan Z2). Core obtained on V1009 cruise of Vema; detailed stratigraphic information not provided</t>
  </si>
  <si>
    <t>Constrained by tephra occurrences (Minoan Z2 and Campanian Ignimbrite). Core obtained on V1010 cruise of Vema; detailed stratigraphic information not provided</t>
  </si>
  <si>
    <t>Constrained by tephra occurrences (Biancavilla Montalto and Campanian Ignimbrite). Core obtained on V1010 cruise of Vema; detailed stratigraphic information not provided</t>
  </si>
  <si>
    <t>Kwiecen et al. (2008) do not extensively search for tephra layers; rather uses identifiable layers as time constraints. Min age = Minoan Z2. Max age = calibrated (Marine20) 14C date of 22340 ± 190 on ostracods. ΔR = -102. Uncertainty = 59</t>
  </si>
  <si>
    <t>Kwiecen et al. (2008) do not extensively search for tephra layers; rather uses identifiable layers as time constraints. Min age = calibrated (Marine20) 14C date of 1170 ± 35. Max age = calibrated (Marine20) 14C date of 7625 ± 55. ΔR = -102. Uncertainty = 59</t>
  </si>
  <si>
    <t xml:space="preserve">	515</t>
  </si>
  <si>
    <t>Kwiecien et al. (2008); Lamy et al. (2006)</t>
  </si>
  <si>
    <t>Age model (Lamy et al., 2006) based on 14C dates and correlation with the core GeoB 7622</t>
  </si>
  <si>
    <t>Age model not  provided for this core, so age is constrained by tephra occurences (Minoan Z2) in lieu</t>
  </si>
  <si>
    <t xml:space="preserve">The full Holocene and last glacial-interglacial transition were studied, up to 18000 yrs BP </t>
  </si>
  <si>
    <t>Unclear how long the investigated interval was; min and max age of Neapolitan Yellow Tuff used</t>
  </si>
  <si>
    <t>Six cores investigated from the same site; the Minoan (Z2) tephra is present in all. Only the tephra layer was dated, so min and max dates of the Minoan eruption are used</t>
  </si>
  <si>
    <t>Long sequence extending beyong 25 ka</t>
  </si>
  <si>
    <t>Albert et al. (2017); Checa et al. (2020)</t>
  </si>
  <si>
    <r>
      <t xml:space="preserve">Checa, H., Margaritelli, G., Pena, L. D., Frigola, J., Cacho, I., Rettori, R., &amp; Lirer, F. (2020). High resolution paleo-environmental changes during the Sapropel 1 in the North Ionian Sea, central Mediterranean. </t>
    </r>
    <r>
      <rPr>
        <i/>
        <sz val="12"/>
        <color theme="1"/>
        <rFont val="Aptos Narrow"/>
        <family val="2"/>
        <scheme val="minor"/>
      </rPr>
      <t>Holocene</t>
    </r>
    <r>
      <rPr>
        <sz val="12"/>
        <color theme="1"/>
        <rFont val="Aptos Narrow"/>
        <family val="2"/>
        <scheme val="minor"/>
      </rPr>
      <t xml:space="preserve">, </t>
    </r>
    <r>
      <rPr>
        <i/>
        <sz val="12"/>
        <color theme="1"/>
        <rFont val="Aptos Narrow"/>
        <family val="2"/>
        <scheme val="minor"/>
      </rPr>
      <t>30</t>
    </r>
    <r>
      <rPr>
        <sz val="12"/>
        <color theme="1"/>
        <rFont val="Aptos Narrow"/>
        <family val="2"/>
        <scheme val="minor"/>
      </rPr>
      <t>(11), 1504–1515. https://doi.org/10.1177/0959683620941095;REQUESTEDJOURNAL:JOURNAL:HOLA;WGROUP:STRING:PUBLICATION</t>
    </r>
  </si>
  <si>
    <t>Min age = min of Monte Pilato. The absence of  two prominent visible marine tephra markers (Y3 and Y5), at 30–31 ka BP and 39 ka BP, indicate that the basal age of the Marsili core is younger. Max age =  max of Soccavo 1. Core is likely older in reality but no other markers are dated</t>
  </si>
  <si>
    <t>Sediments spanning  the top of Sapropel 1 down to the visible Y-3 tephra (older than 25000 yrs) were investigated for the presence of cryptotephra. Min age = min of Sapropel 1 (spans 6.1 ± 0.5 to 10.8 ± 0.4 ka BP from Checa et al. (2020))</t>
  </si>
  <si>
    <t>"The upper part of the record which spans the mid Holocene to MIS 5e4 (the last ca 105,000 years) has been investigated for tephra content". No more precise min age given than "mid Holocene". Min age = min of Agnano Monte Spina</t>
  </si>
  <si>
    <t>"Lowest levels Nubian, dated to ~ 86-123 ka BP". Middle and Late Stone Age are the focus. The minimum age of sediments tested is not explicitly stated; min of youngest tephra used in lieu</t>
  </si>
  <si>
    <t>Min age = min of Agnano Monte Spina</t>
  </si>
  <si>
    <t>Min age = min of Agnano Monte Spina. Max age = max of Biancavilla</t>
  </si>
  <si>
    <t>There are 6 cores from Lago Albano; this site span represents the long composite sequence</t>
  </si>
  <si>
    <t>Min age = min of Agnano Monte Spina. Max age = max of Neapolitan Yellow Tuff</t>
  </si>
  <si>
    <t>Min and max age Neapolitan Yellow Tuff</t>
  </si>
  <si>
    <t>This is a long sequence potentially extending upwards of ~ 3k yrs beyond the Neapolitan Yellow Tuff, however, the age profile is not well constrained. It is also unclear whether a comprehensive search for tephras was conducted throughout, so conservatively the upper and mins of the Neapolitan Yellow Tuff are used</t>
  </si>
  <si>
    <t>Long sequence; max penetrates LGM</t>
  </si>
  <si>
    <t>Min age = min of Neapolitan Yellow Tuff; long sequence extending beyond 25 ka</t>
  </si>
  <si>
    <t xml:space="preserve">Min age = 79 CE (Pompeii); max age = max of Soccavo 1 </t>
  </si>
  <si>
    <t>Min = calibrated (IntCal20) 14C date 1285 ± 30 yrs BP recorded at 20.5 cm depth; long sequence extending beyond 25 ka</t>
  </si>
  <si>
    <t>Min age = 1730 CE eruption. "Based on similar VMS peak-to-peak correlations, it can be reasonably inferred that the GS1 record covers at least the last 13,000 years"</t>
  </si>
  <si>
    <t>Paper focuses on one layer only; min and max ages of this layer, "Ellittico caldera-forming phase", are used</t>
  </si>
  <si>
    <t>Long sequence extending beyond 25 ka; note that no systematic sampling occurred</t>
  </si>
  <si>
    <t>Min age = min of Cape Riva; long sequence extending beyond 25 ka</t>
  </si>
  <si>
    <t>Sediment surface is very modern (dated to -61.5 ± 1 yrs BP) however 0 is adopted for consistency</t>
  </si>
  <si>
    <t>Paper focuses on one layer only; min and max ages of the Erciyes Dagi S1 layer used</t>
  </si>
  <si>
    <t>Study focused on c. 2-4.2 ka. Min age =  79 CE (Pompeii) eruption</t>
  </si>
  <si>
    <t>Re-ran age model; min and max = extrapolated mean ages for top and bottom of studied section</t>
  </si>
  <si>
    <t>Min age = min of Mercato; long sequence extending beyond 25 ka</t>
  </si>
  <si>
    <t>Core top assumed to be modern; long sequence extending beyond 25 ka (14C age at base of core 41777 ± 481 yrs BP)</t>
  </si>
  <si>
    <t>Min age = Agnano Monte Spina min. Max = read off age model figure</t>
  </si>
  <si>
    <t>Min age according to age model is 0.13 ± 0.04 ka; long sequence extending beyond 25 ka</t>
  </si>
  <si>
    <t>Sequence described as "spanning the interval from 22 to 62 ka BP". Min age = Cape Riva (Y2) min</t>
  </si>
  <si>
    <t>Age model provided; long sequence extending beyong 25 ka</t>
  </si>
  <si>
    <t>Long sequence extending beyond 25 ka; min age = 79 CE (Pompeii) eruption</t>
  </si>
  <si>
    <t>Long sequence extending beyond 25 ka; min age = approximate modelled age of an unidentified tephra ~ 10 cm depth</t>
  </si>
  <si>
    <t>Long sequence extending beyond 25 ka; min age = approximate modelled age of an unidentified tephra ~ 20 cm depth</t>
  </si>
  <si>
    <t>Long sequence extending beyond 25 ka. Min age = Neapolitan Yellow Tuff min</t>
  </si>
  <si>
    <t>Long sequence extending beyond 25 ka. Min age = calibrated (Intcal20) 14 C age of 2630 ± 95 obtained near top of sequence</t>
  </si>
  <si>
    <t>"Twelve samples were collected from Tayma (core sections Tay253_4.5e5.3 and Tay253_5e5.3) at 5.38-5.95 m composite depth covering the time interval from 8541 ± 41 to 9406 ± 411 cal yr BP"</t>
  </si>
  <si>
    <t>Long sequence extending beyond 25 ka. Core top may be modern, though this is not clarified.  Min age = Neapolitan Yellow Tuff min</t>
  </si>
  <si>
    <t>Long sequence extending beyond 25 ka. Core top may be modern, though this is not clarified.  Min age  = Mercato min</t>
  </si>
  <si>
    <t>The time interval 14000 - 34000 yrs BP was investigated in depth. However, the younger Avellino tephra was identified, so min age = Avellino min</t>
  </si>
  <si>
    <t>Age depth model based on 14C dates and tephra layers. However, maximum basal age of core is not clear. Oldest 14 C date of 14390 ± 40 yrs BP obtained on marine shell is used in lieu, calibrated with Marine20. ΔR = -197. Uncertainty = 221</t>
  </si>
  <si>
    <t>Long sequence extending beyond 25 ka. Min age = AP2 min</t>
  </si>
  <si>
    <t>Age model based on radiocarbon and tephra layers. Max age = Agnano Monte Spina max</t>
  </si>
  <si>
    <t>Age model based on radiocarbon and tephra layers. Max age = Pomici Principali max</t>
  </si>
  <si>
    <t>Top assumed to be modern. Max age = Pomici di Base max</t>
  </si>
  <si>
    <t>Top assumed to be modern. Max age = 79 CE (Pompeii)</t>
  </si>
  <si>
    <t>Paper focuses on one layer only, Cape Riva (Y2)</t>
  </si>
  <si>
    <t xml:space="preserve">Youngest identified tephra is Minoan (Z2), but core top assumed to be modern </t>
  </si>
  <si>
    <t>Site spans legend</t>
  </si>
  <si>
    <t>Type of site (marine, lake, or terrestrial)</t>
  </si>
  <si>
    <t>Publication(s) that originally reported the tephra deposit</t>
  </si>
  <si>
    <t>Publication(s) that reported the site</t>
  </si>
  <si>
    <t>Maximum age based on tephra occurrence (cal yr BP)</t>
  </si>
  <si>
    <t>Minimum site coverage (cal yr BP)</t>
  </si>
  <si>
    <t>Maximum site coverage (cal yr BP)</t>
  </si>
  <si>
    <t>Minimum age based on tephra occurrence (cal yr BP)</t>
  </si>
  <si>
    <t>Minimum age of site based on tephra occurrences only, i.e., the youngest possible tephra identified</t>
  </si>
  <si>
    <t>Maximum age of site based on tephra occurrences only, i.e., the oldest possible tephra identified</t>
  </si>
  <si>
    <t>Best estimation of mimimum age covered by site based on publication</t>
  </si>
  <si>
    <t>Best estimation of maximum age covered by site based on publication</t>
  </si>
  <si>
    <t>Explanation of how site span was derived</t>
  </si>
  <si>
    <t>Site of tephra deposit(s)</t>
  </si>
  <si>
    <t>Tephra data legend</t>
  </si>
  <si>
    <t>Tay253</t>
  </si>
  <si>
    <t>Long sequence extending beyond 25 ka. Core top may be modern, but unclear. Min age = TM11 min</t>
  </si>
  <si>
    <t>Min age = min of Minoan (Z2). Long sequence extending beyond 25 ka; evidenced by the presence of the Campanian Ignimbrite. Unlikely that systematic search was carried out</t>
  </si>
  <si>
    <t>Read from age model</t>
  </si>
  <si>
    <t xml:space="preserve">Study focuses specifically on Minoan (Z2) eruption </t>
  </si>
  <si>
    <t>Read from age model; long sequence extending beyond 25 ka</t>
  </si>
  <si>
    <t>Max age = TM11 max</t>
  </si>
  <si>
    <t>Min = calibrated (Marine20) 14C age of 960 ± 35 yrs BP obtained on planktonic foraminifera at 0-6 cm depth in the core. ΔR = -95. Uncertainty = 106. Long sequence extending beyond 25 ka</t>
  </si>
  <si>
    <t>Max = calibrated basal 14C date (15800 ± 500). Uncalibrated date not provided</t>
  </si>
  <si>
    <t>Max = calibrated basal 14C date (9700 ± 160). Uncalibrated date not provided</t>
  </si>
  <si>
    <t>Age model provided; long sequence extending beyond 25 ka</t>
  </si>
  <si>
    <t>"The whole cores 3A and 1B span the last ca. 11.5 kyr"</t>
  </si>
  <si>
    <t>Min age = min of Biancavilla; long sequence extending beyond 25 ka</t>
  </si>
  <si>
    <t>Min = "modern times"; max = older than basal 14C age from MJ1, but within "boreal"</t>
  </si>
  <si>
    <t>Min = "modern times"; max = basal 14C age</t>
  </si>
  <si>
    <t>Min = calibrated 14C age above visible tephra; max = S1 age</t>
  </si>
  <si>
    <t xml:space="preserve">Window is the chronostratigraphic age range of sapropel unit II in which the tephra is hosted. It is a constrained tephra-search window rather than a full archive-coverage range. Cores span beyond unit II (units I above, III below). Min age = min of Minoan (Z2) eruption. Max age = calibrated (Marine20) 14C age of 8,660 ± 150 for unit II/III boundary. ΔR = -102. Uncertainty = 59 </t>
  </si>
  <si>
    <t>Max age = Neapolitan Yellow Tuff max. Note that this site is a marine lake</t>
  </si>
  <si>
    <t>Study focused on c .2-4.2 ka. Max age = Agnano Monte Spina max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</si>
</sst>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2"/>
      <color theme="1"/>
      <name val="Aptos Narrow"/>
      <family val="2"/>
      <scheme val="minor"/>
    </font>
    <font>
      <sz val="8"/>
      <name val="Aptos Narrow"/>
      <family val="2"/>
      <scheme val="minor"/>
    </font>
    <font>
      <sz val="12"/>
      <color theme="1"/>
      <name val="Calibri"/>
      <family val="2"/>
    </font>
    <font>
      <b/>
      <sz val="12"/>
      <color theme="1"/>
      <name val="Calibri"/>
      <family val="2"/>
    </font>
    <font>
      <sz val="12"/>
      <color rgb="FF000000"/>
      <name val="Calibri"/>
      <family val="2"/>
    </font>
    <font>
      <sz val="12"/>
      <name val="Calibri"/>
      <family val="2"/>
    </font>
    <font>
      <i/>
      <sz val="12"/>
      <color theme="1"/>
      <name val="Calibri"/>
      <family val="2"/>
    </font>
    <font>
      <u/>
      <sz val="12"/>
      <color theme="10"/>
      <name val="Aptos Narrow"/>
      <family val="2"/>
      <scheme val="minor"/>
    </font>
    <font>
      <b/>
      <sz val="12"/>
      <color rgb="FF000000"/>
      <name val="Calibri"/>
      <family val="2"/>
    </font>
    <font>
      <i/>
      <sz val="12"/>
      <color theme="1"/>
      <name val="Aptos Narrow"/>
      <family val="2"/>
      <scheme val="minor"/>
    </font>
  </fonts>
  <fills count="3">
    <fill>
      <patternFill patternType="none"/>
    </fill>
    <fill>
      <patternFill patternType="gray125"/>
    </fill>
    <fill>
      <patternFill patternType="solid">
        <fgColor theme="3" tint="0.89999084444715716"/>
        <bgColor indexed="64"/>
      </patternFill>
    </fill>
  </fills>
  <borders count="1">
    <border>
      <left/>
      <right/>
      <top/>
      <bottom/>
      <diagonal/>
    </border>
  </borders>
  <cellStyleXfs count="2">
    <xf numFmtId="0" fontId="0" fillId="0" borderId="0"/>
    <xf numFmtId="0" fontId="7" fillId="0" borderId="0" applyNumberFormat="0" applyFill="0" applyBorder="0" applyAlignment="0" applyProtection="0"/>
  </cellStyleXfs>
  <cellXfs count="49">
    <xf numFmtId="0" fontId="0" fillId="0" borderId="0" xfId="0"/>
    <xf numFmtId="0" fontId="0" fillId="2" borderId="0" xfId="0" applyFill="1"/>
    <xf numFmtId="0" fontId="2" fillId="0" borderId="0" xfId="0" applyFont="1"/>
    <xf numFmtId="1" fontId="2" fillId="0" borderId="0" xfId="0" applyNumberFormat="1" applyFont="1"/>
    <xf numFmtId="0" fontId="2" fillId="0" borderId="0" xfId="0" applyFont="1" applyAlignment="1">
      <alignment horizontal="left"/>
    </xf>
    <xf numFmtId="0" fontId="2" fillId="0" borderId="0" xfId="0" applyFont="1" applyAlignment="1">
      <alignment horizontal="right"/>
    </xf>
    <xf numFmtId="2" fontId="2" fillId="0" borderId="0" xfId="0" applyNumberFormat="1" applyFont="1" applyAlignment="1">
      <alignment horizontal="right"/>
    </xf>
    <xf numFmtId="1" fontId="2" fillId="0" borderId="0" xfId="0" applyNumberFormat="1" applyFont="1" applyAlignment="1">
      <alignment horizontal="right"/>
    </xf>
    <xf numFmtId="0" fontId="4" fillId="0" borderId="0" xfId="0" applyFont="1" applyAlignment="1">
      <alignment horizontal="left"/>
    </xf>
    <xf numFmtId="164" fontId="2" fillId="0" borderId="0" xfId="0" applyNumberFormat="1" applyFont="1" applyAlignment="1">
      <alignment horizontal="right" indent="1"/>
    </xf>
    <xf numFmtId="164" fontId="2" fillId="0" borderId="0" xfId="0" applyNumberFormat="1" applyFont="1" applyAlignment="1">
      <alignment horizontal="right"/>
    </xf>
    <xf numFmtId="164" fontId="2" fillId="0" borderId="0" xfId="0" applyNumberFormat="1" applyFont="1" applyAlignment="1">
      <alignment horizontal="left"/>
    </xf>
    <xf numFmtId="1" fontId="4" fillId="0" borderId="0" xfId="0" applyNumberFormat="1" applyFont="1" applyAlignment="1">
      <alignment horizontal="right"/>
    </xf>
    <xf numFmtId="2" fontId="4" fillId="0" borderId="0" xfId="0" applyNumberFormat="1" applyFont="1" applyAlignment="1">
      <alignment horizontal="right"/>
    </xf>
    <xf numFmtId="0" fontId="5" fillId="0" borderId="0" xfId="0" applyFont="1" applyAlignment="1">
      <alignment horizontal="left"/>
    </xf>
    <xf numFmtId="2" fontId="2" fillId="0" borderId="0" xfId="0" applyNumberFormat="1" applyFont="1" applyAlignment="1">
      <alignment horizontal="left"/>
    </xf>
    <xf numFmtId="1" fontId="2" fillId="0" borderId="0" xfId="0" applyNumberFormat="1" applyFont="1" applyAlignment="1">
      <alignment horizontal="left"/>
    </xf>
    <xf numFmtId="49" fontId="2" fillId="0" borderId="0" xfId="0" applyNumberFormat="1" applyFont="1" applyAlignment="1">
      <alignment horizontal="left"/>
    </xf>
    <xf numFmtId="49" fontId="5" fillId="0" borderId="0" xfId="0" applyNumberFormat="1" applyFont="1" applyAlignment="1">
      <alignment horizontal="left"/>
    </xf>
    <xf numFmtId="1" fontId="4" fillId="0" borderId="0" xfId="0" applyNumberFormat="1" applyFont="1" applyAlignment="1">
      <alignment horizontal="left"/>
    </xf>
    <xf numFmtId="0" fontId="4" fillId="0" borderId="0" xfId="0" applyFont="1" applyAlignment="1">
      <alignment horizontal="right"/>
    </xf>
    <xf numFmtId="2" fontId="4" fillId="0" borderId="0" xfId="0" applyNumberFormat="1" applyFont="1" applyAlignment="1">
      <alignment horizontal="left"/>
    </xf>
    <xf numFmtId="14" fontId="2" fillId="0" borderId="0" xfId="0" applyNumberFormat="1" applyFont="1" applyAlignment="1">
      <alignment horizontal="left"/>
    </xf>
    <xf numFmtId="164" fontId="2" fillId="0" borderId="0" xfId="0" applyNumberFormat="1" applyFont="1" applyAlignment="1">
      <alignment horizontal="left" indent="1"/>
    </xf>
    <xf numFmtId="0" fontId="2" fillId="0" borderId="0" xfId="0" applyFont="1" applyAlignment="1">
      <alignment vertical="top" wrapText="1"/>
    </xf>
    <xf numFmtId="0" fontId="3" fillId="2" borderId="0" xfId="0" applyFont="1" applyFill="1" applyAlignment="1">
      <alignment horizontal="center" vertical="center" wrapText="1"/>
    </xf>
    <xf numFmtId="2" fontId="3" fillId="2" borderId="0" xfId="0" applyNumberFormat="1" applyFont="1" applyFill="1" applyAlignment="1">
      <alignment horizontal="center" vertical="center" wrapText="1"/>
    </xf>
    <xf numFmtId="1" fontId="3" fillId="2" borderId="0" xfId="0" applyNumberFormat="1" applyFont="1" applyFill="1" applyAlignment="1">
      <alignment horizontal="center" vertical="center" wrapText="1"/>
    </xf>
    <xf numFmtId="164" fontId="3" fillId="2" borderId="0" xfId="0" applyNumberFormat="1" applyFont="1" applyFill="1" applyAlignment="1">
      <alignment horizontal="center" vertical="center" wrapText="1"/>
    </xf>
    <xf numFmtId="0" fontId="2" fillId="0" borderId="0" xfId="0" applyFont="1" applyAlignment="1">
      <alignment vertical="center"/>
    </xf>
    <xf numFmtId="0" fontId="3" fillId="0" borderId="0" xfId="0" applyFont="1" applyAlignment="1">
      <alignment horizontal="center" vertical="center" wrapText="1"/>
    </xf>
    <xf numFmtId="0" fontId="4" fillId="0" borderId="0" xfId="0" applyFont="1"/>
    <xf numFmtId="0" fontId="8" fillId="2" borderId="0" xfId="0" applyFont="1" applyFill="1" applyAlignment="1">
      <alignment horizontal="center" vertical="center" wrapText="1"/>
    </xf>
    <xf numFmtId="0" fontId="3" fillId="2" borderId="0" xfId="0" applyFont="1" applyFill="1"/>
    <xf numFmtId="0" fontId="3" fillId="0" borderId="0" xfId="0" applyFont="1"/>
    <xf numFmtId="0" fontId="2" fillId="0" borderId="0" xfId="1" applyFont="1" applyAlignment="1">
      <alignment vertical="center"/>
    </xf>
    <xf numFmtId="0" fontId="2" fillId="2" borderId="0" xfId="0" applyFont="1" applyFill="1"/>
    <xf numFmtId="1" fontId="4" fillId="0" borderId="0" xfId="0" applyNumberFormat="1" applyFont="1"/>
    <xf numFmtId="0" fontId="2" fillId="0" borderId="0" xfId="0" applyFont="1" applyAlignment="1">
      <alignment horizontal="center"/>
    </xf>
    <xf numFmtId="0" fontId="3" fillId="0" borderId="0" xfId="0" applyFont="1" applyAlignment="1">
      <alignment horizontal="left" vertical="center" wrapText="1"/>
    </xf>
    <xf numFmtId="0" fontId="2" fillId="0" borderId="0" xfId="0" applyFont="1" applyAlignment="1">
      <alignment horizontal="left" vertical="center" wrapText="1"/>
    </xf>
    <xf numFmtId="0" fontId="3" fillId="0" borderId="0" xfId="0" applyFont="1" applyAlignment="1">
      <alignment vertical="center" wrapText="1"/>
    </xf>
    <xf numFmtId="0" fontId="2" fillId="0" borderId="0" xfId="0" applyFont="1" applyAlignment="1">
      <alignment vertical="center" wrapText="1"/>
    </xf>
    <xf numFmtId="0" fontId="2" fillId="0" borderId="0" xfId="0" applyFont="1" applyAlignment="1">
      <alignment horizontal="left" vertical="center"/>
    </xf>
    <xf numFmtId="0" fontId="3" fillId="0" borderId="0" xfId="0" applyFont="1" applyAlignment="1">
      <alignment vertical="center"/>
    </xf>
    <xf numFmtId="2" fontId="0" fillId="0" borderId="0" xfId="0" applyNumberFormat="1"/>
    <xf numFmtId="1" fontId="3" fillId="2" borderId="0" xfId="0" applyNumberFormat="1" applyFont="1" applyFill="1" applyAlignment="1">
      <alignment horizontal="center" vertical="center" wrapText="1"/>
    </xf>
    <xf numFmtId="0" fontId="3" fillId="0" borderId="0" xfId="0" applyFont="1" applyAlignment="1">
      <alignment horizontal="center" vertical="center"/>
    </xf>
    <xf numFmtId="0" fontId="3" fillId="2" borderId="0" xfId="0" applyFont="1" applyFill="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colors>
    <mruColors>
      <color rgb="FFFFEEBE"/>
      <color rgb="FFBFB1FF"/>
      <color rgb="FFFFFF8B"/>
      <color rgb="FFAFA3F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8" Type="http://schemas.openxmlformats.org/officeDocument/2006/relationships/hyperlink" Target="https://doi.org/10.1017/RDC.2020.41" TargetMode="External"/><Relationship Id="rId3" Type="http://schemas.openxmlformats.org/officeDocument/2006/relationships/hyperlink" Target="https://doi.org/10.1017/S0033822200033865" TargetMode="External"/><Relationship Id="rId7" Type="http://schemas.openxmlformats.org/officeDocument/2006/relationships/hyperlink" Target="https://doi.org/10.1111/bor.12446" TargetMode="External"/><Relationship Id="rId2" Type="http://schemas.openxmlformats.org/officeDocument/2006/relationships/hyperlink" Target="https://doi.org/10.1016/j.quascirev.2014.09.008" TargetMode="External"/><Relationship Id="rId1" Type="http://schemas.openxmlformats.org/officeDocument/2006/relationships/hyperlink" Target="https://doi.org/10.1007/s00445-007-0172-z" TargetMode="External"/><Relationship Id="rId6" Type="http://schemas.openxmlformats.org/officeDocument/2006/relationships/hyperlink" Target="https://doi.org/10.1016/j.quascirev.2024.108558" TargetMode="External"/><Relationship Id="rId5" Type="http://schemas.openxmlformats.org/officeDocument/2006/relationships/hyperlink" Target="https://doi.org/10.1017/RDC.2020.68" TargetMode="External"/><Relationship Id="rId4" Type="http://schemas.openxmlformats.org/officeDocument/2006/relationships/hyperlink" Target="https://doi.org/10.1016/j.yqres.2009.12.00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0F9EAC-29AA-0847-8BA8-28AD7C088A00}">
  <dimension ref="A1:F50"/>
  <sheetViews>
    <sheetView topLeftCell="A31" zoomScale="87" workbookViewId="0">
      <selection activeCell="H30" sqref="H30"/>
    </sheetView>
  </sheetViews>
  <sheetFormatPr baseColWidth="10" defaultRowHeight="16" x14ac:dyDescent="0.2"/>
  <cols>
    <col min="1" max="1" width="34.5" style="40" customWidth="1"/>
    <col min="2" max="2" width="99.1640625" style="24" customWidth="1"/>
    <col min="3" max="3" width="10.83203125" style="2"/>
    <col min="4" max="4" width="29.5" style="2" customWidth="1"/>
    <col min="5" max="5" width="34.6640625" style="2" customWidth="1"/>
    <col min="6" max="16384" width="10.83203125" style="2"/>
  </cols>
  <sheetData>
    <row r="1" spans="1:6" ht="34" customHeight="1" x14ac:dyDescent="0.2">
      <c r="A1" s="46" t="s">
        <v>1615</v>
      </c>
      <c r="B1" s="46"/>
      <c r="D1" s="47"/>
      <c r="E1" s="47"/>
    </row>
    <row r="2" spans="1:6" ht="44" customHeight="1" x14ac:dyDescent="0.2">
      <c r="A2" s="39" t="s">
        <v>0</v>
      </c>
      <c r="B2" s="42" t="s">
        <v>1189</v>
      </c>
      <c r="D2" s="39"/>
      <c r="E2" s="43"/>
    </row>
    <row r="3" spans="1:6" ht="25" customHeight="1" x14ac:dyDescent="0.2">
      <c r="A3" s="39" t="s">
        <v>1</v>
      </c>
      <c r="B3" s="42" t="s">
        <v>1614</v>
      </c>
      <c r="D3" s="39"/>
      <c r="E3" s="43"/>
    </row>
    <row r="4" spans="1:6" ht="25" customHeight="1" x14ac:dyDescent="0.2">
      <c r="A4" s="39" t="s">
        <v>1013</v>
      </c>
      <c r="B4" s="42" t="s">
        <v>1081</v>
      </c>
      <c r="D4" s="39"/>
      <c r="E4" s="43"/>
    </row>
    <row r="5" spans="1:6" ht="25" customHeight="1" x14ac:dyDescent="0.2">
      <c r="A5" s="39" t="s">
        <v>2</v>
      </c>
      <c r="B5" s="42" t="s">
        <v>1320</v>
      </c>
      <c r="D5" s="41"/>
      <c r="E5" s="40"/>
      <c r="F5" s="38"/>
    </row>
    <row r="6" spans="1:6" ht="25" customHeight="1" x14ac:dyDescent="0.2">
      <c r="A6" s="39" t="s">
        <v>3</v>
      </c>
      <c r="B6" s="42" t="s">
        <v>1321</v>
      </c>
      <c r="D6" s="41"/>
      <c r="E6" s="42"/>
    </row>
    <row r="7" spans="1:6" ht="25" customHeight="1" x14ac:dyDescent="0.2">
      <c r="A7" s="39" t="s">
        <v>4</v>
      </c>
      <c r="B7" s="42" t="s">
        <v>1082</v>
      </c>
      <c r="D7" s="44"/>
      <c r="E7" s="29"/>
    </row>
    <row r="8" spans="1:6" ht="25" customHeight="1" x14ac:dyDescent="0.2">
      <c r="A8" s="39" t="s">
        <v>5</v>
      </c>
      <c r="B8" s="42" t="s">
        <v>1083</v>
      </c>
      <c r="D8" s="41"/>
      <c r="E8" s="42"/>
    </row>
    <row r="9" spans="1:6" ht="25" customHeight="1" x14ac:dyDescent="0.2">
      <c r="A9" s="39" t="s">
        <v>6</v>
      </c>
      <c r="B9" s="42" t="s">
        <v>1084</v>
      </c>
      <c r="D9" s="41"/>
      <c r="E9" s="42"/>
    </row>
    <row r="10" spans="1:6" ht="25" customHeight="1" x14ac:dyDescent="0.2">
      <c r="A10" s="39" t="s">
        <v>7</v>
      </c>
      <c r="B10" s="42" t="s">
        <v>1603</v>
      </c>
    </row>
    <row r="11" spans="1:6" ht="25" customHeight="1" x14ac:dyDescent="0.2">
      <c r="A11" s="39" t="s">
        <v>8</v>
      </c>
      <c r="B11" s="42" t="s">
        <v>1085</v>
      </c>
    </row>
    <row r="12" spans="1:6" ht="25" customHeight="1" x14ac:dyDescent="0.2">
      <c r="A12" s="39" t="s">
        <v>952</v>
      </c>
      <c r="B12" s="42" t="s">
        <v>1322</v>
      </c>
    </row>
    <row r="13" spans="1:6" ht="25" customHeight="1" x14ac:dyDescent="0.2">
      <c r="A13" s="39" t="s">
        <v>953</v>
      </c>
      <c r="B13" s="42" t="s">
        <v>1323</v>
      </c>
    </row>
    <row r="14" spans="1:6" ht="34" x14ac:dyDescent="0.2">
      <c r="A14" s="39" t="s">
        <v>1086</v>
      </c>
      <c r="B14" s="42" t="s">
        <v>1190</v>
      </c>
    </row>
    <row r="15" spans="1:6" ht="34" x14ac:dyDescent="0.2">
      <c r="A15" s="39" t="s">
        <v>1058</v>
      </c>
      <c r="B15" s="42" t="s">
        <v>1191</v>
      </c>
    </row>
    <row r="16" spans="1:6" ht="51" x14ac:dyDescent="0.2">
      <c r="A16" s="39" t="s">
        <v>9</v>
      </c>
      <c r="B16" s="42" t="s">
        <v>1192</v>
      </c>
    </row>
    <row r="17" spans="1:2" ht="85" x14ac:dyDescent="0.2">
      <c r="A17" s="39" t="s">
        <v>10</v>
      </c>
      <c r="B17" s="42" t="s">
        <v>1193</v>
      </c>
    </row>
    <row r="18" spans="1:2" ht="25" customHeight="1" x14ac:dyDescent="0.2">
      <c r="A18" s="39" t="s">
        <v>11</v>
      </c>
      <c r="B18" s="42" t="s">
        <v>1194</v>
      </c>
    </row>
    <row r="19" spans="1:2" ht="25" customHeight="1" x14ac:dyDescent="0.2">
      <c r="A19" s="39" t="s">
        <v>1080</v>
      </c>
      <c r="B19" s="42" t="s">
        <v>1089</v>
      </c>
    </row>
    <row r="20" spans="1:2" ht="25" customHeight="1" x14ac:dyDescent="0.2">
      <c r="A20" s="39" t="s">
        <v>951</v>
      </c>
      <c r="B20" s="42" t="s">
        <v>1324</v>
      </c>
    </row>
    <row r="21" spans="1:2" ht="25" customHeight="1" x14ac:dyDescent="0.2">
      <c r="A21" s="39" t="s">
        <v>841</v>
      </c>
      <c r="B21" s="42" t="s">
        <v>1195</v>
      </c>
    </row>
    <row r="22" spans="1:2" ht="51" x14ac:dyDescent="0.2">
      <c r="A22" s="39" t="s">
        <v>840</v>
      </c>
      <c r="B22" s="42" t="s">
        <v>1325</v>
      </c>
    </row>
    <row r="23" spans="1:2" ht="25" customHeight="1" x14ac:dyDescent="0.2">
      <c r="A23" s="39" t="s">
        <v>842</v>
      </c>
      <c r="B23" s="42" t="s">
        <v>1196</v>
      </c>
    </row>
    <row r="24" spans="1:2" ht="25" customHeight="1" x14ac:dyDescent="0.2">
      <c r="A24" s="39" t="s">
        <v>12</v>
      </c>
      <c r="B24" s="42" t="s">
        <v>1197</v>
      </c>
    </row>
    <row r="25" spans="1:2" ht="25" customHeight="1" x14ac:dyDescent="0.2">
      <c r="A25" s="39" t="s">
        <v>845</v>
      </c>
      <c r="B25" s="42" t="s">
        <v>1198</v>
      </c>
    </row>
    <row r="26" spans="1:2" ht="25" customHeight="1" x14ac:dyDescent="0.2">
      <c r="A26" s="39" t="s">
        <v>1158</v>
      </c>
      <c r="B26" s="42" t="s">
        <v>1199</v>
      </c>
    </row>
    <row r="27" spans="1:2" ht="25" customHeight="1" x14ac:dyDescent="0.2">
      <c r="A27" s="39" t="s">
        <v>1159</v>
      </c>
      <c r="B27" s="42" t="s">
        <v>1200</v>
      </c>
    </row>
    <row r="28" spans="1:2" ht="25" customHeight="1" x14ac:dyDescent="0.2">
      <c r="A28" s="39" t="s">
        <v>899</v>
      </c>
      <c r="B28" s="42" t="s">
        <v>1201</v>
      </c>
    </row>
    <row r="29" spans="1:2" ht="25" customHeight="1" x14ac:dyDescent="0.2">
      <c r="A29" s="39" t="s">
        <v>1149</v>
      </c>
      <c r="B29" s="42" t="s">
        <v>1326</v>
      </c>
    </row>
    <row r="30" spans="1:2" ht="25" customHeight="1" x14ac:dyDescent="0.2">
      <c r="A30" s="39" t="s">
        <v>547</v>
      </c>
      <c r="B30" s="42" t="s">
        <v>1202</v>
      </c>
    </row>
    <row r="31" spans="1:2" ht="25" customHeight="1" x14ac:dyDescent="0.2">
      <c r="A31" s="39" t="s">
        <v>904</v>
      </c>
      <c r="B31" s="42" t="s">
        <v>1203</v>
      </c>
    </row>
    <row r="32" spans="1:2" ht="25" customHeight="1" x14ac:dyDescent="0.2">
      <c r="A32" s="39" t="s">
        <v>900</v>
      </c>
      <c r="B32" s="42" t="s">
        <v>1090</v>
      </c>
    </row>
    <row r="33" spans="1:2" ht="25" customHeight="1" x14ac:dyDescent="0.2">
      <c r="A33" s="39" t="s">
        <v>903</v>
      </c>
      <c r="B33" s="42" t="s">
        <v>1204</v>
      </c>
    </row>
    <row r="34" spans="1:2" ht="25" customHeight="1" x14ac:dyDescent="0.2">
      <c r="A34" s="39" t="s">
        <v>898</v>
      </c>
      <c r="B34" s="42" t="s">
        <v>1205</v>
      </c>
    </row>
    <row r="35" spans="1:2" ht="25" customHeight="1" x14ac:dyDescent="0.2">
      <c r="A35" s="39" t="s">
        <v>986</v>
      </c>
      <c r="B35" s="42" t="s">
        <v>1206</v>
      </c>
    </row>
    <row r="36" spans="1:2" ht="25" customHeight="1" x14ac:dyDescent="0.2">
      <c r="A36" s="39" t="s">
        <v>987</v>
      </c>
      <c r="B36" s="42" t="s">
        <v>1207</v>
      </c>
    </row>
    <row r="37" spans="1:2" ht="51" x14ac:dyDescent="0.2">
      <c r="A37" s="39" t="s">
        <v>988</v>
      </c>
      <c r="B37" s="42" t="s">
        <v>1208</v>
      </c>
    </row>
    <row r="38" spans="1:2" ht="34" x14ac:dyDescent="0.2">
      <c r="A38" s="39" t="s">
        <v>1014</v>
      </c>
      <c r="B38" s="42" t="s">
        <v>1209</v>
      </c>
    </row>
    <row r="39" spans="1:2" ht="34" x14ac:dyDescent="0.2">
      <c r="A39" s="39" t="s">
        <v>1077</v>
      </c>
      <c r="B39" s="42" t="s">
        <v>1210</v>
      </c>
    </row>
    <row r="40" spans="1:2" ht="34" x14ac:dyDescent="0.2">
      <c r="A40" s="39" t="s">
        <v>1078</v>
      </c>
      <c r="B40" s="42" t="s">
        <v>1210</v>
      </c>
    </row>
    <row r="42" spans="1:2" ht="34" customHeight="1" x14ac:dyDescent="0.2">
      <c r="A42" s="48" t="s">
        <v>1601</v>
      </c>
      <c r="B42" s="48"/>
    </row>
    <row r="43" spans="1:2" ht="25" customHeight="1" x14ac:dyDescent="0.2">
      <c r="A43" s="39" t="s">
        <v>1</v>
      </c>
      <c r="B43" s="43" t="s">
        <v>1614</v>
      </c>
    </row>
    <row r="44" spans="1:2" ht="25" customHeight="1" x14ac:dyDescent="0.2">
      <c r="A44" s="39" t="s">
        <v>1505</v>
      </c>
      <c r="B44" s="43" t="s">
        <v>1602</v>
      </c>
    </row>
    <row r="45" spans="1:2" ht="25" customHeight="1" x14ac:dyDescent="0.2">
      <c r="A45" s="39" t="s">
        <v>7</v>
      </c>
      <c r="B45" s="43" t="s">
        <v>1604</v>
      </c>
    </row>
    <row r="46" spans="1:2" ht="34" x14ac:dyDescent="0.2">
      <c r="A46" s="41" t="s">
        <v>1608</v>
      </c>
      <c r="B46" s="40" t="s">
        <v>1609</v>
      </c>
    </row>
    <row r="47" spans="1:2" ht="34" x14ac:dyDescent="0.2">
      <c r="A47" s="41" t="s">
        <v>1605</v>
      </c>
      <c r="B47" s="42" t="s">
        <v>1610</v>
      </c>
    </row>
    <row r="48" spans="1:2" ht="25" customHeight="1" x14ac:dyDescent="0.2">
      <c r="A48" s="44" t="s">
        <v>951</v>
      </c>
      <c r="B48" s="29" t="s">
        <v>1613</v>
      </c>
    </row>
    <row r="49" spans="1:2" ht="25" customHeight="1" x14ac:dyDescent="0.2">
      <c r="A49" s="41" t="s">
        <v>841</v>
      </c>
      <c r="B49" s="42" t="s">
        <v>1611</v>
      </c>
    </row>
    <row r="50" spans="1:2" ht="25" customHeight="1" x14ac:dyDescent="0.2">
      <c r="A50" s="41" t="s">
        <v>842</v>
      </c>
      <c r="B50" s="42" t="s">
        <v>1612</v>
      </c>
    </row>
  </sheetData>
  <mergeCells count="3">
    <mergeCell ref="A1:B1"/>
    <mergeCell ref="D1:E1"/>
    <mergeCell ref="A42:B4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DC06D5-7230-A84A-99A2-3127EBCECB4D}">
  <dimension ref="A1:AO417"/>
  <sheetViews>
    <sheetView tabSelected="1" zoomScale="88" zoomScaleNormal="82" workbookViewId="0">
      <pane ySplit="1" topLeftCell="A33" activePane="bottomLeft" state="frozen"/>
      <selection pane="bottomLeft" activeCell="E55" sqref="E55"/>
    </sheetView>
  </sheetViews>
  <sheetFormatPr baseColWidth="10" defaultRowHeight="16" x14ac:dyDescent="0.2"/>
  <cols>
    <col min="1" max="1" width="21" style="4" customWidth="1"/>
    <col min="2" max="4" width="15.33203125" style="4" customWidth="1"/>
    <col min="5" max="5" width="16.33203125" style="4" customWidth="1"/>
    <col min="6" max="7" width="15.33203125" style="15" customWidth="1"/>
    <col min="8" max="8" width="15.33203125" style="16" customWidth="1"/>
    <col min="9" max="9" width="31.5" style="4" customWidth="1"/>
    <col min="10" max="10" width="20.1640625" style="4" customWidth="1"/>
    <col min="11" max="12" width="15.33203125" style="15" customWidth="1"/>
    <col min="13" max="13" width="15.33203125" style="4" customWidth="1"/>
    <col min="14" max="14" width="15.33203125" style="2" customWidth="1"/>
    <col min="15" max="15" width="26" style="4" customWidth="1"/>
    <col min="16" max="19" width="15.33203125" style="4" customWidth="1"/>
    <col min="20" max="22" width="15.33203125" style="16" customWidth="1"/>
    <col min="23" max="24" width="20.83203125" style="15" customWidth="1"/>
    <col min="25" max="27" width="15.33203125" style="16" customWidth="1"/>
    <col min="28" max="28" width="15.33203125" style="2" customWidth="1"/>
    <col min="29" max="31" width="15.33203125" style="16" customWidth="1"/>
    <col min="32" max="32" width="15.33203125" style="3" customWidth="1"/>
    <col min="33" max="33" width="15.33203125" style="16" customWidth="1"/>
    <col min="34" max="34" width="15.33203125" style="4" customWidth="1"/>
    <col min="35" max="35" width="15.33203125" style="2" customWidth="1"/>
    <col min="36" max="36" width="22.83203125" style="23" customWidth="1"/>
    <col min="37" max="37" width="22.83203125" style="11" customWidth="1"/>
    <col min="38" max="39" width="22.83203125" style="10" customWidth="1"/>
    <col min="40" max="16384" width="10.83203125" style="4"/>
  </cols>
  <sheetData>
    <row r="1" spans="1:41" s="30" customFormat="1" ht="51" x14ac:dyDescent="0.2">
      <c r="A1" s="25" t="s">
        <v>0</v>
      </c>
      <c r="B1" s="25" t="s">
        <v>1</v>
      </c>
      <c r="C1" s="25" t="s">
        <v>1013</v>
      </c>
      <c r="D1" s="25" t="s">
        <v>2</v>
      </c>
      <c r="E1" s="25" t="s">
        <v>3</v>
      </c>
      <c r="F1" s="26" t="s">
        <v>4</v>
      </c>
      <c r="G1" s="26" t="s">
        <v>5</v>
      </c>
      <c r="H1" s="27" t="s">
        <v>1079</v>
      </c>
      <c r="I1" s="25" t="s">
        <v>7</v>
      </c>
      <c r="J1" s="25" t="s">
        <v>8</v>
      </c>
      <c r="K1" s="26" t="s">
        <v>952</v>
      </c>
      <c r="L1" s="26" t="s">
        <v>953</v>
      </c>
      <c r="M1" s="25" t="s">
        <v>1086</v>
      </c>
      <c r="N1" s="25" t="s">
        <v>1058</v>
      </c>
      <c r="O1" s="25" t="s">
        <v>9</v>
      </c>
      <c r="P1" s="25" t="s">
        <v>10</v>
      </c>
      <c r="Q1" s="25" t="s">
        <v>11</v>
      </c>
      <c r="R1" s="25" t="s">
        <v>1080</v>
      </c>
      <c r="S1" s="25" t="s">
        <v>951</v>
      </c>
      <c r="T1" s="27" t="s">
        <v>841</v>
      </c>
      <c r="U1" s="27" t="s">
        <v>840</v>
      </c>
      <c r="V1" s="27" t="s">
        <v>842</v>
      </c>
      <c r="W1" s="26" t="s">
        <v>12</v>
      </c>
      <c r="X1" s="26" t="s">
        <v>845</v>
      </c>
      <c r="Y1" s="27" t="s">
        <v>1158</v>
      </c>
      <c r="Z1" s="27" t="s">
        <v>1159</v>
      </c>
      <c r="AA1" s="27" t="s">
        <v>899</v>
      </c>
      <c r="AB1" s="25" t="s">
        <v>1149</v>
      </c>
      <c r="AC1" s="27" t="s">
        <v>547</v>
      </c>
      <c r="AD1" s="27" t="s">
        <v>904</v>
      </c>
      <c r="AE1" s="27" t="s">
        <v>900</v>
      </c>
      <c r="AF1" s="27" t="s">
        <v>903</v>
      </c>
      <c r="AG1" s="27" t="s">
        <v>898</v>
      </c>
      <c r="AH1" s="25" t="s">
        <v>986</v>
      </c>
      <c r="AI1" s="25" t="s">
        <v>987</v>
      </c>
      <c r="AJ1" s="28" t="s">
        <v>988</v>
      </c>
      <c r="AK1" s="28" t="s">
        <v>1014</v>
      </c>
      <c r="AL1" s="28" t="s">
        <v>1077</v>
      </c>
      <c r="AM1" s="28" t="s">
        <v>1078</v>
      </c>
    </row>
    <row r="2" spans="1:41" x14ac:dyDescent="0.2">
      <c r="A2" s="4" t="s">
        <v>523</v>
      </c>
      <c r="B2" s="4" t="s">
        <v>126</v>
      </c>
      <c r="C2" s="5">
        <v>609</v>
      </c>
      <c r="D2" s="4" t="s">
        <v>70</v>
      </c>
      <c r="E2" s="4" t="s">
        <v>71</v>
      </c>
      <c r="F2" s="6">
        <v>41.620699999999999</v>
      </c>
      <c r="G2" s="6">
        <v>17.473299999999998</v>
      </c>
      <c r="H2" s="7">
        <v>-1126</v>
      </c>
      <c r="I2" s="4" t="s">
        <v>225</v>
      </c>
      <c r="J2" s="4" t="s">
        <v>15</v>
      </c>
      <c r="K2" s="6">
        <v>40.826999999999998</v>
      </c>
      <c r="L2" s="6">
        <v>14.138999999999999</v>
      </c>
      <c r="M2" s="5" t="s">
        <v>340</v>
      </c>
      <c r="N2" s="5" t="s">
        <v>340</v>
      </c>
      <c r="O2" s="4" t="s">
        <v>199</v>
      </c>
      <c r="P2" s="5" t="s">
        <v>340</v>
      </c>
      <c r="Q2" s="5">
        <v>9999</v>
      </c>
      <c r="R2" s="4" t="s">
        <v>698</v>
      </c>
      <c r="S2" s="4" t="s">
        <v>1121</v>
      </c>
      <c r="T2" s="7">
        <v>4483</v>
      </c>
      <c r="U2" s="7">
        <v>4540</v>
      </c>
      <c r="V2" s="7">
        <v>4627</v>
      </c>
      <c r="W2" s="15" t="s">
        <v>928</v>
      </c>
      <c r="X2" s="21" t="s">
        <v>1357</v>
      </c>
      <c r="Y2" s="7" t="s">
        <v>340</v>
      </c>
      <c r="Z2" s="7" t="s">
        <v>340</v>
      </c>
      <c r="AA2" s="7" t="s">
        <v>340</v>
      </c>
      <c r="AB2" s="7" t="s">
        <v>340</v>
      </c>
      <c r="AC2" s="7">
        <v>5390</v>
      </c>
      <c r="AD2" s="7">
        <v>270</v>
      </c>
      <c r="AE2" s="7">
        <v>4546</v>
      </c>
      <c r="AF2" s="7">
        <v>36</v>
      </c>
      <c r="AG2" s="7" t="s">
        <v>340</v>
      </c>
      <c r="AH2" s="5">
        <v>1</v>
      </c>
      <c r="AI2" s="5">
        <v>1</v>
      </c>
      <c r="AJ2" s="9">
        <f>IF(AND(ISNUMBER(F2),ISNUMBER(G2),ISNUMBER(K2),ISNUMBER(L2)),ACOS(MIN(1,COS(RADIANS(90-F2))*COS(RADIANS(90-K2))+SIN(RADIANS(90-F2))*SIN(RADIANS(90-K2))*COS(RADIANS(G2-L2))))*6371,"N/A")</f>
        <v>292.47079934979007</v>
      </c>
      <c r="AK2" s="10">
        <f>IF(AND(ISNUMBER(F2),ISNUMBER(G2),ISNUMBER(K2),ISNUMBER(L2)),MOD(DEGREES(ATAN2(COS(RADIANS(K2))*SIN(RADIANS(F2))-SIN(RADIANS(K2))*COS(RADIANS(F2))*COS(RADIANS(G2-L2)),SIN(RADIANS(G2-L2))*COS(RADIANS(F2))))+360,360),"N/A")</f>
        <v>71.344146106215931</v>
      </c>
      <c r="AL2" s="10" t="str">
        <f>IF(AND(ISNUMBER(F2),ISNUMBER(G2),ISNUMBER(M2),ISNUMBER(N2)),ACOS(MIN(1,COS(RADIANS(90-F2))*COS(RADIANS(90-M2))+SIN(RADIANS(90-F2))*SIN(RADIANS(90-M2))*COS(RADIANS(G2-N2))))*6371,"N/A")</f>
        <v>N/A</v>
      </c>
      <c r="AM2" s="10" t="str">
        <f>IF(AND(ISNUMBER(F2),ISNUMBER(G2),ISNUMBER(M2),ISNUMBER(N2)),MOD(DEGREES(ATAN2(COS(RADIANS(M2))*SIN(RADIANS(F2))-SIN(RADIANS(M2))*COS(RADIANS(F2))*COS(RADIANS(G2-N2)),SIN(RADIANS(G2-N2))*COS(RADIANS(F2))))+360,360),"N/A")</f>
        <v>N/A</v>
      </c>
      <c r="AN2" s="2"/>
      <c r="AO2" s="2"/>
    </row>
    <row r="3" spans="1:41" x14ac:dyDescent="0.2">
      <c r="A3" s="4" t="s">
        <v>524</v>
      </c>
      <c r="B3" s="4" t="s">
        <v>126</v>
      </c>
      <c r="C3" s="5">
        <v>609</v>
      </c>
      <c r="D3" s="4" t="s">
        <v>70</v>
      </c>
      <c r="E3" s="4" t="s">
        <v>71</v>
      </c>
      <c r="F3" s="6">
        <v>41.620699999999999</v>
      </c>
      <c r="G3" s="6">
        <v>17.473299999999998</v>
      </c>
      <c r="H3" s="7">
        <v>-1126</v>
      </c>
      <c r="I3" s="4" t="s">
        <v>225</v>
      </c>
      <c r="J3" s="4" t="s">
        <v>15</v>
      </c>
      <c r="K3" s="6">
        <v>40.826999999999998</v>
      </c>
      <c r="L3" s="6">
        <v>14.138999999999999</v>
      </c>
      <c r="M3" s="5" t="s">
        <v>340</v>
      </c>
      <c r="N3" s="5" t="s">
        <v>340</v>
      </c>
      <c r="O3" s="4" t="s">
        <v>525</v>
      </c>
      <c r="P3" s="5" t="s">
        <v>340</v>
      </c>
      <c r="Q3" s="5">
        <v>9999</v>
      </c>
      <c r="R3" s="4" t="s">
        <v>698</v>
      </c>
      <c r="S3" s="4" t="s">
        <v>1121</v>
      </c>
      <c r="T3" s="7">
        <v>4000</v>
      </c>
      <c r="U3" s="7">
        <v>4185</v>
      </c>
      <c r="V3" s="7">
        <v>4370</v>
      </c>
      <c r="W3" s="15" t="s">
        <v>928</v>
      </c>
      <c r="X3" s="15" t="s">
        <v>1357</v>
      </c>
      <c r="Y3" s="7" t="s">
        <v>340</v>
      </c>
      <c r="Z3" s="7" t="s">
        <v>340</v>
      </c>
      <c r="AA3" s="7" t="s">
        <v>340</v>
      </c>
      <c r="AB3" s="7" t="s">
        <v>340</v>
      </c>
      <c r="AC3" s="7" t="s">
        <v>340</v>
      </c>
      <c r="AD3" s="7" t="s">
        <v>340</v>
      </c>
      <c r="AE3" s="7">
        <v>4185</v>
      </c>
      <c r="AF3" s="7">
        <v>185</v>
      </c>
      <c r="AG3" s="7" t="s">
        <v>340</v>
      </c>
      <c r="AH3" s="5">
        <v>1</v>
      </c>
      <c r="AI3" s="5">
        <v>1</v>
      </c>
      <c r="AJ3" s="9">
        <f>IF(AND(ISNUMBER(F3),ISNUMBER(G3),ISNUMBER(K3),ISNUMBER(L3)),ACOS(MIN(1,COS(RADIANS(90-F3))*COS(RADIANS(90-K3))+SIN(RADIANS(90-F3))*SIN(RADIANS(90-K3))*COS(RADIANS(G3-L3))))*6371,"N/A")</f>
        <v>292.47079934979007</v>
      </c>
      <c r="AK3" s="10">
        <f>IF(AND(ISNUMBER(F3),ISNUMBER(G3),ISNUMBER(K3),ISNUMBER(L3)),MOD(DEGREES(ATAN2(COS(RADIANS(K3))*SIN(RADIANS(F3))-SIN(RADIANS(K3))*COS(RADIANS(F3))*COS(RADIANS(G3-L3)),SIN(RADIANS(G3-L3))*COS(RADIANS(F3))))+360,360),"N/A")</f>
        <v>71.344146106215931</v>
      </c>
      <c r="AL3" s="10" t="str">
        <f>IF(AND(ISNUMBER(F3),ISNUMBER(G3),ISNUMBER(M3),ISNUMBER(N3)),ACOS(MIN(1,COS(RADIANS(90-F3))*COS(RADIANS(90-M3))+SIN(RADIANS(90-F3))*SIN(RADIANS(90-M3))*COS(RADIANS(G3-N3))))*6371,"N/A")</f>
        <v>N/A</v>
      </c>
      <c r="AM3" s="10" t="str">
        <f>IF(AND(ISNUMBER(F3),ISNUMBER(G3),ISNUMBER(M3),ISNUMBER(N3)),MOD(DEGREES(ATAN2(COS(RADIANS(M3))*SIN(RADIANS(F3))-SIN(RADIANS(M3))*COS(RADIANS(F3))*COS(RADIANS(G3-N3)),SIN(RADIANS(G3-N3))*COS(RADIANS(F3))))+360,360),"N/A")</f>
        <v>N/A</v>
      </c>
      <c r="AN3" s="2"/>
      <c r="AO3" s="2"/>
    </row>
    <row r="4" spans="1:41" x14ac:dyDescent="0.2">
      <c r="A4" s="4" t="s">
        <v>520</v>
      </c>
      <c r="B4" s="4" t="s">
        <v>126</v>
      </c>
      <c r="C4" s="5">
        <v>609</v>
      </c>
      <c r="D4" s="4" t="s">
        <v>70</v>
      </c>
      <c r="E4" s="4" t="s">
        <v>71</v>
      </c>
      <c r="F4" s="6">
        <v>41.620699999999999</v>
      </c>
      <c r="G4" s="6">
        <v>17.473299999999998</v>
      </c>
      <c r="H4" s="7">
        <v>-1126</v>
      </c>
      <c r="I4" s="4" t="s">
        <v>225</v>
      </c>
      <c r="J4" s="4" t="s">
        <v>15</v>
      </c>
      <c r="K4" s="6">
        <v>40.826999999999998</v>
      </c>
      <c r="L4" s="6">
        <v>14.138999999999999</v>
      </c>
      <c r="M4" s="5" t="s">
        <v>340</v>
      </c>
      <c r="N4" s="5" t="s">
        <v>340</v>
      </c>
      <c r="O4" s="4" t="s">
        <v>20</v>
      </c>
      <c r="P4" s="5" t="s">
        <v>340</v>
      </c>
      <c r="Q4" s="5">
        <v>9999</v>
      </c>
      <c r="R4" s="4" t="s">
        <v>698</v>
      </c>
      <c r="S4" s="4" t="s">
        <v>1121</v>
      </c>
      <c r="T4" s="7">
        <v>13761</v>
      </c>
      <c r="U4" s="7">
        <v>14029</v>
      </c>
      <c r="V4" s="7">
        <v>14356</v>
      </c>
      <c r="W4" s="15" t="s">
        <v>933</v>
      </c>
      <c r="X4" s="15" t="s">
        <v>1358</v>
      </c>
      <c r="Y4" s="7" t="s">
        <v>340</v>
      </c>
      <c r="Z4" s="7" t="s">
        <v>340</v>
      </c>
      <c r="AA4" s="7" t="s">
        <v>340</v>
      </c>
      <c r="AB4" s="7" t="s">
        <v>340</v>
      </c>
      <c r="AC4" s="7">
        <v>14120</v>
      </c>
      <c r="AD4" s="7">
        <v>710</v>
      </c>
      <c r="AE4" s="7">
        <v>14037</v>
      </c>
      <c r="AF4" s="7">
        <v>156</v>
      </c>
      <c r="AG4" s="7" t="s">
        <v>340</v>
      </c>
      <c r="AH4" s="5">
        <v>1</v>
      </c>
      <c r="AI4" s="5">
        <v>1</v>
      </c>
      <c r="AJ4" s="9">
        <f>IF(AND(ISNUMBER(F4),ISNUMBER(G4),ISNUMBER(K4),ISNUMBER(L4)),ACOS(MIN(1,COS(RADIANS(90-F4))*COS(RADIANS(90-K4))+SIN(RADIANS(90-F4))*SIN(RADIANS(90-K4))*COS(RADIANS(G4-L4))))*6371,"N/A")</f>
        <v>292.47079934979007</v>
      </c>
      <c r="AK4" s="10">
        <f>IF(AND(ISNUMBER(F4),ISNUMBER(G4),ISNUMBER(K4),ISNUMBER(L4)),MOD(DEGREES(ATAN2(COS(RADIANS(K4))*SIN(RADIANS(F4))-SIN(RADIANS(K4))*COS(RADIANS(F4))*COS(RADIANS(G4-L4)),SIN(RADIANS(G4-L4))*COS(RADIANS(F4))))+360,360),"N/A")</f>
        <v>71.344146106215931</v>
      </c>
      <c r="AL4" s="10" t="str">
        <f>IF(AND(ISNUMBER(F4),ISNUMBER(G4),ISNUMBER(M4),ISNUMBER(N4)),ACOS(MIN(1,COS(RADIANS(90-F4))*COS(RADIANS(90-M4))+SIN(RADIANS(90-F4))*SIN(RADIANS(90-M4))*COS(RADIANS(G4-N4))))*6371,"N/A")</f>
        <v>N/A</v>
      </c>
      <c r="AM4" s="10" t="str">
        <f>IF(AND(ISNUMBER(F4),ISNUMBER(G4),ISNUMBER(M4),ISNUMBER(N4)),MOD(DEGREES(ATAN2(COS(RADIANS(M4))*SIN(RADIANS(F4))-SIN(RADIANS(M4))*COS(RADIANS(F4))*COS(RADIANS(G4-N4)),SIN(RADIANS(G4-N4))*COS(RADIANS(F4))))+360,360),"N/A")</f>
        <v>N/A</v>
      </c>
      <c r="AN4" s="2"/>
      <c r="AO4" s="2"/>
    </row>
    <row r="5" spans="1:41" x14ac:dyDescent="0.2">
      <c r="A5" s="4" t="s">
        <v>521</v>
      </c>
      <c r="B5" s="4" t="s">
        <v>126</v>
      </c>
      <c r="C5" s="5">
        <v>609</v>
      </c>
      <c r="D5" s="4" t="s">
        <v>70</v>
      </c>
      <c r="E5" s="4" t="s">
        <v>71</v>
      </c>
      <c r="F5" s="6">
        <v>41.620699999999999</v>
      </c>
      <c r="G5" s="6">
        <v>17.473299999999998</v>
      </c>
      <c r="H5" s="7">
        <v>-1126</v>
      </c>
      <c r="I5" s="4" t="s">
        <v>225</v>
      </c>
      <c r="J5" s="4" t="s">
        <v>15</v>
      </c>
      <c r="K5" s="6">
        <v>40.826999999999998</v>
      </c>
      <c r="L5" s="6">
        <v>14.138999999999999</v>
      </c>
      <c r="M5" s="5" t="s">
        <v>340</v>
      </c>
      <c r="N5" s="5" t="s">
        <v>340</v>
      </c>
      <c r="O5" s="4" t="s">
        <v>232</v>
      </c>
      <c r="P5" s="5" t="s">
        <v>340</v>
      </c>
      <c r="Q5" s="5">
        <v>9999</v>
      </c>
      <c r="R5" s="4" t="s">
        <v>698</v>
      </c>
      <c r="S5" s="4" t="s">
        <v>1121</v>
      </c>
      <c r="T5" s="7">
        <v>11860</v>
      </c>
      <c r="U5" s="7">
        <v>12096</v>
      </c>
      <c r="V5" s="7">
        <v>12396</v>
      </c>
      <c r="W5" s="15" t="s">
        <v>928</v>
      </c>
      <c r="X5" s="21" t="s">
        <v>1357</v>
      </c>
      <c r="Y5" s="7" t="s">
        <v>340</v>
      </c>
      <c r="Z5" s="7" t="s">
        <v>340</v>
      </c>
      <c r="AA5" s="7" t="s">
        <v>340</v>
      </c>
      <c r="AB5" s="7" t="s">
        <v>340</v>
      </c>
      <c r="AC5" s="7">
        <v>12180</v>
      </c>
      <c r="AD5" s="7">
        <v>610</v>
      </c>
      <c r="AE5" s="7">
        <v>12104</v>
      </c>
      <c r="AF5" s="7">
        <v>141</v>
      </c>
      <c r="AG5" s="7" t="s">
        <v>340</v>
      </c>
      <c r="AH5" s="5">
        <v>1</v>
      </c>
      <c r="AI5" s="5">
        <v>1</v>
      </c>
      <c r="AJ5" s="9">
        <f>IF(AND(ISNUMBER(F5),ISNUMBER(G5),ISNUMBER(K5),ISNUMBER(L5)),ACOS(MIN(1,COS(RADIANS(90-F5))*COS(RADIANS(90-K5))+SIN(RADIANS(90-F5))*SIN(RADIANS(90-K5))*COS(RADIANS(G5-L5))))*6371,"N/A")</f>
        <v>292.47079934979007</v>
      </c>
      <c r="AK5" s="10">
        <f>IF(AND(ISNUMBER(F5),ISNUMBER(G5),ISNUMBER(K5),ISNUMBER(L5)),MOD(DEGREES(ATAN2(COS(RADIANS(K5))*SIN(RADIANS(F5))-SIN(RADIANS(K5))*COS(RADIANS(F5))*COS(RADIANS(G5-L5)),SIN(RADIANS(G5-L5))*COS(RADIANS(F5))))+360,360),"N/A")</f>
        <v>71.344146106215931</v>
      </c>
      <c r="AL5" s="10" t="str">
        <f>IF(AND(ISNUMBER(F5),ISNUMBER(G5),ISNUMBER(M5),ISNUMBER(N5)),ACOS(MIN(1,COS(RADIANS(90-F5))*COS(RADIANS(90-M5))+SIN(RADIANS(90-F5))*SIN(RADIANS(90-M5))*COS(RADIANS(G5-N5))))*6371,"N/A")</f>
        <v>N/A</v>
      </c>
      <c r="AM5" s="10" t="str">
        <f>IF(AND(ISNUMBER(F5),ISNUMBER(G5),ISNUMBER(M5),ISNUMBER(N5)),MOD(DEGREES(ATAN2(COS(RADIANS(M5))*SIN(RADIANS(F5))-SIN(RADIANS(M5))*COS(RADIANS(F5))*COS(RADIANS(G5-N5)),SIN(RADIANS(G5-N5))*COS(RADIANS(F5))))+360,360),"N/A")</f>
        <v>N/A</v>
      </c>
      <c r="AN5" s="2"/>
      <c r="AO5" s="2"/>
    </row>
    <row r="6" spans="1:41" x14ac:dyDescent="0.2">
      <c r="A6" s="4" t="s">
        <v>519</v>
      </c>
      <c r="B6" s="4" t="s">
        <v>126</v>
      </c>
      <c r="C6" s="5">
        <v>609</v>
      </c>
      <c r="D6" s="4" t="s">
        <v>70</v>
      </c>
      <c r="E6" s="4" t="s">
        <v>71</v>
      </c>
      <c r="F6" s="6">
        <v>41.620699999999999</v>
      </c>
      <c r="G6" s="6">
        <v>17.473299999999998</v>
      </c>
      <c r="H6" s="7">
        <v>-1126</v>
      </c>
      <c r="I6" s="4" t="s">
        <v>225</v>
      </c>
      <c r="J6" s="4" t="s">
        <v>16</v>
      </c>
      <c r="K6" s="6">
        <v>40.820999999999998</v>
      </c>
      <c r="L6" s="6">
        <v>14.426</v>
      </c>
      <c r="M6" s="5" t="s">
        <v>340</v>
      </c>
      <c r="N6" s="5" t="s">
        <v>340</v>
      </c>
      <c r="O6" s="4" t="s">
        <v>1069</v>
      </c>
      <c r="P6" s="5" t="s">
        <v>340</v>
      </c>
      <c r="Q6" s="5">
        <v>9999</v>
      </c>
      <c r="R6" s="4" t="s">
        <v>698</v>
      </c>
      <c r="S6" s="4" t="s">
        <v>1121</v>
      </c>
      <c r="T6" s="12">
        <v>18978</v>
      </c>
      <c r="U6" s="12">
        <v>19162</v>
      </c>
      <c r="V6" s="12">
        <v>19352</v>
      </c>
      <c r="W6" s="21" t="s">
        <v>933</v>
      </c>
      <c r="X6" s="21" t="s">
        <v>1359</v>
      </c>
      <c r="Y6" s="7" t="s">
        <v>340</v>
      </c>
      <c r="Z6" s="7" t="s">
        <v>340</v>
      </c>
      <c r="AA6" s="7" t="s">
        <v>340</v>
      </c>
      <c r="AB6" s="7" t="s">
        <v>340</v>
      </c>
      <c r="AC6" s="7">
        <v>17560</v>
      </c>
      <c r="AD6" s="7">
        <v>880</v>
      </c>
      <c r="AE6" s="7">
        <v>19164</v>
      </c>
      <c r="AF6" s="7">
        <v>92</v>
      </c>
      <c r="AG6" s="7" t="s">
        <v>340</v>
      </c>
      <c r="AH6" s="5">
        <v>1</v>
      </c>
      <c r="AI6" s="5">
        <v>1</v>
      </c>
      <c r="AJ6" s="9">
        <f>IF(AND(ISNUMBER(F6),ISNUMBER(G6),ISNUMBER(K6),ISNUMBER(L6)),ACOS(MIN(1,COS(RADIANS(90-F6))*COS(RADIANS(90-K6))+SIN(RADIANS(90-F6))*SIN(RADIANS(90-K6))*COS(RADIANS(G6-L6))))*6371,"N/A")</f>
        <v>269.91840540293151</v>
      </c>
      <c r="AK6" s="10">
        <f>IF(AND(ISNUMBER(F6),ISNUMBER(G6),ISNUMBER(K6),ISNUMBER(L6)),MOD(DEGREES(ATAN2(COS(RADIANS(K6))*SIN(RADIANS(F6))-SIN(RADIANS(K6))*COS(RADIANS(F6))*COS(RADIANS(G6-L6)),SIN(RADIANS(G6-L6))*COS(RADIANS(F6))))+360,360),"N/A")</f>
        <v>69.766609664024827</v>
      </c>
      <c r="AL6" s="10" t="str">
        <f>IF(AND(ISNUMBER(F6),ISNUMBER(G6),ISNUMBER(M6),ISNUMBER(N6)),ACOS(MIN(1,COS(RADIANS(90-F6))*COS(RADIANS(90-M6))+SIN(RADIANS(90-F6))*SIN(RADIANS(90-M6))*COS(RADIANS(G6-N6))))*6371,"N/A")</f>
        <v>N/A</v>
      </c>
      <c r="AM6" s="10" t="str">
        <f>IF(AND(ISNUMBER(F6),ISNUMBER(G6),ISNUMBER(M6),ISNUMBER(N6)),MOD(DEGREES(ATAN2(COS(RADIANS(M6))*SIN(RADIANS(F6))-SIN(RADIANS(M6))*COS(RADIANS(F6))*COS(RADIANS(G6-N6)),SIN(RADIANS(G6-N6))*COS(RADIANS(F6))))+360,360),"N/A")</f>
        <v>N/A</v>
      </c>
      <c r="AN6" s="2"/>
      <c r="AO6" s="2"/>
    </row>
    <row r="7" spans="1:41" x14ac:dyDescent="0.2">
      <c r="A7" s="4" t="s">
        <v>522</v>
      </c>
      <c r="B7" s="4" t="s">
        <v>126</v>
      </c>
      <c r="C7" s="5">
        <v>609</v>
      </c>
      <c r="D7" s="4" t="s">
        <v>70</v>
      </c>
      <c r="E7" s="4" t="s">
        <v>71</v>
      </c>
      <c r="F7" s="6">
        <v>41.620699999999999</v>
      </c>
      <c r="G7" s="6">
        <v>17.473299999999998</v>
      </c>
      <c r="H7" s="7">
        <v>-1126</v>
      </c>
      <c r="I7" s="4" t="s">
        <v>225</v>
      </c>
      <c r="J7" s="4" t="s">
        <v>16</v>
      </c>
      <c r="K7" s="6">
        <v>40.820999999999998</v>
      </c>
      <c r="L7" s="6">
        <v>14.426</v>
      </c>
      <c r="M7" s="5" t="s">
        <v>340</v>
      </c>
      <c r="N7" s="5" t="s">
        <v>340</v>
      </c>
      <c r="O7" s="4" t="s">
        <v>229</v>
      </c>
      <c r="P7" s="5" t="s">
        <v>340</v>
      </c>
      <c r="Q7" s="5">
        <v>9999</v>
      </c>
      <c r="R7" s="4" t="s">
        <v>698</v>
      </c>
      <c r="S7" s="4" t="s">
        <v>1121</v>
      </c>
      <c r="T7" s="12">
        <v>8723</v>
      </c>
      <c r="U7" s="7">
        <v>8866</v>
      </c>
      <c r="V7" s="12">
        <v>9009</v>
      </c>
      <c r="W7" s="15" t="s">
        <v>1091</v>
      </c>
      <c r="X7" s="21" t="s">
        <v>1360</v>
      </c>
      <c r="Y7" s="7">
        <v>8010</v>
      </c>
      <c r="Z7" s="7">
        <v>35</v>
      </c>
      <c r="AA7" s="7" t="s">
        <v>340</v>
      </c>
      <c r="AB7" s="7" t="s">
        <v>340</v>
      </c>
      <c r="AC7" s="7">
        <v>9680</v>
      </c>
      <c r="AD7" s="7">
        <v>480</v>
      </c>
      <c r="AE7" s="7" t="s">
        <v>340</v>
      </c>
      <c r="AF7" s="7" t="s">
        <v>340</v>
      </c>
      <c r="AG7" s="7" t="s">
        <v>340</v>
      </c>
      <c r="AH7" s="5">
        <v>1</v>
      </c>
      <c r="AI7" s="5">
        <v>1</v>
      </c>
      <c r="AJ7" s="9">
        <f>IF(AND(ISNUMBER(F7),ISNUMBER(G7),ISNUMBER(K7),ISNUMBER(L7)),ACOS(MIN(1,COS(RADIANS(90-F7))*COS(RADIANS(90-K7))+SIN(RADIANS(90-F7))*SIN(RADIANS(90-K7))*COS(RADIANS(G7-L7))))*6371,"N/A")</f>
        <v>269.91840540293151</v>
      </c>
      <c r="AK7" s="10">
        <f>IF(AND(ISNUMBER(F7),ISNUMBER(G7),ISNUMBER(K7),ISNUMBER(L7)),MOD(DEGREES(ATAN2(COS(RADIANS(K7))*SIN(RADIANS(F7))-SIN(RADIANS(K7))*COS(RADIANS(F7))*COS(RADIANS(G7-L7)),SIN(RADIANS(G7-L7))*COS(RADIANS(F7))))+360,360),"N/A")</f>
        <v>69.766609664024827</v>
      </c>
      <c r="AL7" s="10" t="str">
        <f>IF(AND(ISNUMBER(F7),ISNUMBER(G7),ISNUMBER(M7),ISNUMBER(N7)),ACOS(MIN(1,COS(RADIANS(90-F7))*COS(RADIANS(90-M7))+SIN(RADIANS(90-F7))*SIN(RADIANS(90-M7))*COS(RADIANS(G7-N7))))*6371,"N/A")</f>
        <v>N/A</v>
      </c>
      <c r="AM7" s="10" t="str">
        <f>IF(AND(ISNUMBER(F7),ISNUMBER(G7),ISNUMBER(M7),ISNUMBER(N7)),MOD(DEGREES(ATAN2(COS(RADIANS(M7))*SIN(RADIANS(F7))-SIN(RADIANS(M7))*COS(RADIANS(F7))*COS(RADIANS(G7-N7)),SIN(RADIANS(G7-N7))*COS(RADIANS(F7))))+360,360),"N/A")</f>
        <v>N/A</v>
      </c>
      <c r="AN7" s="2"/>
      <c r="AO7" s="2"/>
    </row>
    <row r="8" spans="1:41" x14ac:dyDescent="0.2">
      <c r="A8" s="4" t="s">
        <v>518</v>
      </c>
      <c r="B8" s="4" t="s">
        <v>126</v>
      </c>
      <c r="C8" s="5">
        <v>609</v>
      </c>
      <c r="D8" s="4" t="s">
        <v>70</v>
      </c>
      <c r="E8" s="4" t="s">
        <v>71</v>
      </c>
      <c r="F8" s="6">
        <v>41.620699999999999</v>
      </c>
      <c r="G8" s="6">
        <v>17.473299999999998</v>
      </c>
      <c r="H8" s="7">
        <v>-1126</v>
      </c>
      <c r="I8" s="4" t="s">
        <v>225</v>
      </c>
      <c r="J8" s="4" t="s">
        <v>16</v>
      </c>
      <c r="K8" s="6">
        <v>40.820999999999998</v>
      </c>
      <c r="L8" s="6">
        <v>14.426</v>
      </c>
      <c r="M8" s="5" t="s">
        <v>340</v>
      </c>
      <c r="N8" s="5" t="s">
        <v>340</v>
      </c>
      <c r="O8" s="4" t="s">
        <v>295</v>
      </c>
      <c r="P8" s="5" t="s">
        <v>340</v>
      </c>
      <c r="Q8" s="5">
        <v>9999</v>
      </c>
      <c r="R8" s="4" t="s">
        <v>698</v>
      </c>
      <c r="S8" s="4" t="s">
        <v>1121</v>
      </c>
      <c r="T8" s="7">
        <v>21147</v>
      </c>
      <c r="U8" s="7">
        <v>21840</v>
      </c>
      <c r="V8" s="7">
        <v>22339</v>
      </c>
      <c r="W8" s="15" t="s">
        <v>1329</v>
      </c>
      <c r="X8" s="15" t="s">
        <v>1050</v>
      </c>
      <c r="Y8" s="7">
        <v>18220</v>
      </c>
      <c r="Z8" s="7">
        <v>140</v>
      </c>
      <c r="AA8" s="7" t="s">
        <v>340</v>
      </c>
      <c r="AB8" s="7" t="s">
        <v>340</v>
      </c>
      <c r="AC8" s="7">
        <v>19280</v>
      </c>
      <c r="AD8" s="7">
        <v>960</v>
      </c>
      <c r="AE8" s="7">
        <v>21840</v>
      </c>
      <c r="AF8" s="7" t="s">
        <v>938</v>
      </c>
      <c r="AG8" s="7" t="s">
        <v>340</v>
      </c>
      <c r="AH8" s="5">
        <v>1</v>
      </c>
      <c r="AI8" s="5">
        <v>1</v>
      </c>
      <c r="AJ8" s="9">
        <f>IF(AND(ISNUMBER(F8),ISNUMBER(G8),ISNUMBER(K8),ISNUMBER(L8)),ACOS(MIN(1,COS(RADIANS(90-F8))*COS(RADIANS(90-K8))+SIN(RADIANS(90-F8))*SIN(RADIANS(90-K8))*COS(RADIANS(G8-L8))))*6371,"N/A")</f>
        <v>269.91840540293151</v>
      </c>
      <c r="AK8" s="10">
        <f>IF(AND(ISNUMBER(F8),ISNUMBER(G8),ISNUMBER(K8),ISNUMBER(L8)),MOD(DEGREES(ATAN2(COS(RADIANS(K8))*SIN(RADIANS(F8))-SIN(RADIANS(K8))*COS(RADIANS(F8))*COS(RADIANS(G8-L8)),SIN(RADIANS(G8-L8))*COS(RADIANS(F8))))+360,360),"N/A")</f>
        <v>69.766609664024827</v>
      </c>
      <c r="AL8" s="10" t="str">
        <f>IF(AND(ISNUMBER(F8),ISNUMBER(G8),ISNUMBER(M8),ISNUMBER(N8)),ACOS(MIN(1,COS(RADIANS(90-F8))*COS(RADIANS(90-M8))+SIN(RADIANS(90-F8))*SIN(RADIANS(90-M8))*COS(RADIANS(G8-N8))))*6371,"N/A")</f>
        <v>N/A</v>
      </c>
      <c r="AM8" s="10" t="str">
        <f>IF(AND(ISNUMBER(F8),ISNUMBER(G8),ISNUMBER(M8),ISNUMBER(N8)),MOD(DEGREES(ATAN2(COS(RADIANS(M8))*SIN(RADIANS(F8))-SIN(RADIANS(M8))*COS(RADIANS(F8))*COS(RADIANS(G8-N8)),SIN(RADIANS(G8-N8))*COS(RADIANS(F8))))+360,360),"N/A")</f>
        <v>N/A</v>
      </c>
      <c r="AN8" s="2"/>
      <c r="AO8" s="2"/>
    </row>
    <row r="9" spans="1:41" x14ac:dyDescent="0.2">
      <c r="A9" s="4" t="s">
        <v>254</v>
      </c>
      <c r="B9" s="4" t="s">
        <v>111</v>
      </c>
      <c r="C9" s="5">
        <v>938</v>
      </c>
      <c r="D9" s="4" t="s">
        <v>70</v>
      </c>
      <c r="E9" s="4" t="s">
        <v>105</v>
      </c>
      <c r="F9" s="6">
        <v>39.017000000000003</v>
      </c>
      <c r="G9" s="6">
        <v>25.024699999999999</v>
      </c>
      <c r="H9" s="7">
        <v>-453</v>
      </c>
      <c r="I9" s="4" t="s">
        <v>218</v>
      </c>
      <c r="J9" s="4" t="s">
        <v>241</v>
      </c>
      <c r="K9" s="6">
        <v>36.404000000000003</v>
      </c>
      <c r="L9" s="6">
        <v>25.396000000000001</v>
      </c>
      <c r="M9" s="5" t="s">
        <v>340</v>
      </c>
      <c r="N9" s="5" t="s">
        <v>340</v>
      </c>
      <c r="O9" s="4" t="s">
        <v>246</v>
      </c>
      <c r="P9" s="5">
        <v>15</v>
      </c>
      <c r="Q9" s="5">
        <v>9999</v>
      </c>
      <c r="R9" s="4" t="s">
        <v>41</v>
      </c>
      <c r="S9" s="4" t="s">
        <v>1121</v>
      </c>
      <c r="T9" s="7">
        <v>21353</v>
      </c>
      <c r="U9" s="7">
        <v>22170</v>
      </c>
      <c r="V9" s="7">
        <v>22575</v>
      </c>
      <c r="W9" s="15" t="s">
        <v>933</v>
      </c>
      <c r="X9" s="15" t="s">
        <v>1358</v>
      </c>
      <c r="Y9" s="7" t="s">
        <v>340</v>
      </c>
      <c r="Z9" s="7" t="s">
        <v>340</v>
      </c>
      <c r="AA9" s="7" t="s">
        <v>340</v>
      </c>
      <c r="AB9" s="7" t="s">
        <v>340</v>
      </c>
      <c r="AC9" s="7" t="s">
        <v>340</v>
      </c>
      <c r="AD9" s="7" t="s">
        <v>340</v>
      </c>
      <c r="AE9" s="7">
        <v>22101</v>
      </c>
      <c r="AF9" s="7">
        <v>308</v>
      </c>
      <c r="AG9" s="7" t="s">
        <v>340</v>
      </c>
      <c r="AH9" s="5">
        <v>1</v>
      </c>
      <c r="AI9" s="5">
        <v>1</v>
      </c>
      <c r="AJ9" s="9">
        <f>IF(AND(ISNUMBER(F9),ISNUMBER(G9),ISNUMBER(K9),ISNUMBER(L9)),ACOS(MIN(1,COS(RADIANS(90-F9))*COS(RADIANS(90-K9))+SIN(RADIANS(90-F9))*SIN(RADIANS(90-K9))*COS(RADIANS(G9-L9))))*6371,"N/A")</f>
        <v>292.38155918074978</v>
      </c>
      <c r="AK9" s="10">
        <f>IF(AND(ISNUMBER(F9),ISNUMBER(G9),ISNUMBER(K9),ISNUMBER(L9)),MOD(DEGREES(ATAN2(COS(RADIANS(K9))*SIN(RADIANS(F9))-SIN(RADIANS(K9))*COS(RADIANS(F9))*COS(RADIANS(G9-L9)),SIN(RADIANS(G9-L9))*COS(RADIANS(F9))))+360,360),"N/A")</f>
        <v>353.69905121858886</v>
      </c>
      <c r="AL9" s="10" t="str">
        <f>IF(AND(ISNUMBER(F9),ISNUMBER(G9),ISNUMBER(M9),ISNUMBER(N9)),ACOS(MIN(1,COS(RADIANS(90-F9))*COS(RADIANS(90-M9))+SIN(RADIANS(90-F9))*SIN(RADIANS(90-M9))*COS(RADIANS(G9-N9))))*6371,"N/A")</f>
        <v>N/A</v>
      </c>
      <c r="AM9" s="10" t="str">
        <f>IF(AND(ISNUMBER(F9),ISNUMBER(G9),ISNUMBER(M9),ISNUMBER(N9)),MOD(DEGREES(ATAN2(COS(RADIANS(M9))*SIN(RADIANS(F9))-SIN(RADIANS(M9))*COS(RADIANS(F9))*COS(RADIANS(G9-N9)),SIN(RADIANS(G9-N9))*COS(RADIANS(F9))))+360,360),"N/A")</f>
        <v>N/A</v>
      </c>
      <c r="AN9" s="2"/>
      <c r="AO9" s="2"/>
    </row>
    <row r="10" spans="1:41" x14ac:dyDescent="0.2">
      <c r="A10" s="4" t="s">
        <v>253</v>
      </c>
      <c r="B10" s="4" t="s">
        <v>110</v>
      </c>
      <c r="C10" s="5">
        <v>937</v>
      </c>
      <c r="D10" s="4" t="s">
        <v>70</v>
      </c>
      <c r="E10" s="4" t="s">
        <v>105</v>
      </c>
      <c r="F10" s="6">
        <v>38.311300000000003</v>
      </c>
      <c r="G10" s="6">
        <v>25.316199999999998</v>
      </c>
      <c r="H10" s="7">
        <v>-651</v>
      </c>
      <c r="I10" s="4" t="s">
        <v>218</v>
      </c>
      <c r="J10" s="4" t="s">
        <v>241</v>
      </c>
      <c r="K10" s="6">
        <v>36.404000000000003</v>
      </c>
      <c r="L10" s="6">
        <v>25.396000000000001</v>
      </c>
      <c r="M10" s="5" t="s">
        <v>340</v>
      </c>
      <c r="N10" s="5" t="s">
        <v>340</v>
      </c>
      <c r="O10" s="4" t="s">
        <v>246</v>
      </c>
      <c r="P10" s="5">
        <v>15</v>
      </c>
      <c r="Q10" s="5">
        <v>9999</v>
      </c>
      <c r="R10" s="4" t="s">
        <v>41</v>
      </c>
      <c r="S10" s="4" t="s">
        <v>1121</v>
      </c>
      <c r="T10" s="7">
        <v>21353</v>
      </c>
      <c r="U10" s="7">
        <v>22170</v>
      </c>
      <c r="V10" s="7">
        <v>22575</v>
      </c>
      <c r="W10" s="15" t="s">
        <v>933</v>
      </c>
      <c r="X10" s="15" t="s">
        <v>1358</v>
      </c>
      <c r="Y10" s="7" t="s">
        <v>340</v>
      </c>
      <c r="Z10" s="7" t="s">
        <v>340</v>
      </c>
      <c r="AA10" s="7" t="s">
        <v>340</v>
      </c>
      <c r="AB10" s="7" t="s">
        <v>340</v>
      </c>
      <c r="AC10" s="7" t="s">
        <v>340</v>
      </c>
      <c r="AD10" s="7" t="s">
        <v>340</v>
      </c>
      <c r="AE10" s="7">
        <v>22101</v>
      </c>
      <c r="AF10" s="7">
        <v>308</v>
      </c>
      <c r="AG10" s="7" t="s">
        <v>340</v>
      </c>
      <c r="AH10" s="5">
        <v>1</v>
      </c>
      <c r="AI10" s="5">
        <v>1</v>
      </c>
      <c r="AJ10" s="9">
        <f>IF(AND(ISNUMBER(F10),ISNUMBER(G10),ISNUMBER(K10),ISNUMBER(L10)),ACOS(MIN(1,COS(RADIANS(90-F10))*COS(RADIANS(90-K10))+SIN(RADIANS(90-F10))*SIN(RADIANS(90-K10))*COS(RADIANS(G10-L10))))*6371,"N/A")</f>
        <v>212.19930215990649</v>
      </c>
      <c r="AK10" s="10">
        <f>IF(AND(ISNUMBER(F10),ISNUMBER(G10),ISNUMBER(K10),ISNUMBER(L10)),MOD(DEGREES(ATAN2(COS(RADIANS(K10))*SIN(RADIANS(F10))-SIN(RADIANS(K10))*COS(RADIANS(F10))*COS(RADIANS(G10-L10)),SIN(RADIANS(G10-L10))*COS(RADIANS(F10))))+360,360),"N/A")</f>
        <v>358.1193717718308</v>
      </c>
      <c r="AL10" s="10" t="str">
        <f>IF(AND(ISNUMBER(F10),ISNUMBER(G10),ISNUMBER(M10),ISNUMBER(N10)),ACOS(MIN(1,COS(RADIANS(90-F10))*COS(RADIANS(90-M10))+SIN(RADIANS(90-F10))*SIN(RADIANS(90-M10))*COS(RADIANS(G10-N10))))*6371,"N/A")</f>
        <v>N/A</v>
      </c>
      <c r="AM10" s="10" t="str">
        <f>IF(AND(ISNUMBER(F10),ISNUMBER(G10),ISNUMBER(M10),ISNUMBER(N10)),MOD(DEGREES(ATAN2(COS(RADIANS(M10))*SIN(RADIANS(F10))-SIN(RADIANS(M10))*COS(RADIANS(F10))*COS(RADIANS(G10-N10)),SIN(RADIANS(G10-N10))*COS(RADIANS(F10))))+360,360),"N/A")</f>
        <v>N/A</v>
      </c>
      <c r="AN10" s="2"/>
      <c r="AO10" s="2"/>
    </row>
    <row r="11" spans="1:41" x14ac:dyDescent="0.2">
      <c r="A11" s="4" t="s">
        <v>251</v>
      </c>
      <c r="B11" s="4" t="s">
        <v>108</v>
      </c>
      <c r="C11" s="5">
        <v>933</v>
      </c>
      <c r="D11" s="4" t="s">
        <v>70</v>
      </c>
      <c r="E11" s="4" t="s">
        <v>105</v>
      </c>
      <c r="F11" s="6">
        <v>38.066200000000002</v>
      </c>
      <c r="G11" s="6">
        <v>26.371700000000001</v>
      </c>
      <c r="H11" s="7">
        <v>-398</v>
      </c>
      <c r="I11" s="4" t="s">
        <v>218</v>
      </c>
      <c r="J11" s="4" t="s">
        <v>241</v>
      </c>
      <c r="K11" s="6">
        <v>36.404000000000003</v>
      </c>
      <c r="L11" s="6">
        <v>25.396000000000001</v>
      </c>
      <c r="M11" s="5" t="s">
        <v>340</v>
      </c>
      <c r="N11" s="5" t="s">
        <v>340</v>
      </c>
      <c r="O11" s="4" t="s">
        <v>246</v>
      </c>
      <c r="P11" s="5">
        <v>15</v>
      </c>
      <c r="Q11" s="5">
        <v>9999</v>
      </c>
      <c r="R11" s="4" t="s">
        <v>41</v>
      </c>
      <c r="S11" s="4" t="s">
        <v>1121</v>
      </c>
      <c r="T11" s="7">
        <v>21353</v>
      </c>
      <c r="U11" s="7">
        <v>22170</v>
      </c>
      <c r="V11" s="7">
        <v>22575</v>
      </c>
      <c r="W11" s="15" t="s">
        <v>933</v>
      </c>
      <c r="X11" s="15" t="s">
        <v>1358</v>
      </c>
      <c r="Y11" s="7" t="s">
        <v>340</v>
      </c>
      <c r="Z11" s="7" t="s">
        <v>340</v>
      </c>
      <c r="AA11" s="7" t="s">
        <v>340</v>
      </c>
      <c r="AB11" s="7" t="s">
        <v>340</v>
      </c>
      <c r="AC11" s="7" t="s">
        <v>340</v>
      </c>
      <c r="AD11" s="7" t="s">
        <v>340</v>
      </c>
      <c r="AE11" s="7">
        <v>22101</v>
      </c>
      <c r="AF11" s="7">
        <v>308</v>
      </c>
      <c r="AG11" s="7" t="s">
        <v>340</v>
      </c>
      <c r="AH11" s="5">
        <v>1</v>
      </c>
      <c r="AI11" s="5">
        <v>1</v>
      </c>
      <c r="AJ11" s="9">
        <f>IF(AND(ISNUMBER(F11),ISNUMBER(G11),ISNUMBER(K11),ISNUMBER(L11)),ACOS(MIN(1,COS(RADIANS(90-F11))*COS(RADIANS(90-K11))+SIN(RADIANS(90-F11))*SIN(RADIANS(90-K11))*COS(RADIANS(G11-L11))))*6371,"N/A")</f>
        <v>204.01241474206259</v>
      </c>
      <c r="AK11" s="10">
        <f>IF(AND(ISNUMBER(F11),ISNUMBER(G11),ISNUMBER(K11),ISNUMBER(L11)),MOD(DEGREES(ATAN2(COS(RADIANS(K11))*SIN(RADIANS(F11))-SIN(RADIANS(K11))*COS(RADIANS(F11))*COS(RADIANS(G11-L11)),SIN(RADIANS(G11-L11))*COS(RADIANS(F11))))+360,360),"N/A")</f>
        <v>24.754644454658148</v>
      </c>
      <c r="AL11" s="10" t="str">
        <f>IF(AND(ISNUMBER(F11),ISNUMBER(G11),ISNUMBER(M11),ISNUMBER(N11)),ACOS(MIN(1,COS(RADIANS(90-F11))*COS(RADIANS(90-M11))+SIN(RADIANS(90-F11))*SIN(RADIANS(90-M11))*COS(RADIANS(G11-N11))))*6371,"N/A")</f>
        <v>N/A</v>
      </c>
      <c r="AM11" s="10" t="str">
        <f>IF(AND(ISNUMBER(F11),ISNUMBER(G11),ISNUMBER(M11),ISNUMBER(N11)),MOD(DEGREES(ATAN2(COS(RADIANS(M11))*SIN(RADIANS(F11))-SIN(RADIANS(M11))*COS(RADIANS(F11))*COS(RADIANS(G11-N11)),SIN(RADIANS(G11-N11))*COS(RADIANS(F11))))+360,360),"N/A")</f>
        <v>N/A</v>
      </c>
      <c r="AN11" s="2"/>
      <c r="AO11" s="2"/>
    </row>
    <row r="12" spans="1:41" x14ac:dyDescent="0.2">
      <c r="A12" s="4" t="s">
        <v>255</v>
      </c>
      <c r="B12" s="4" t="s">
        <v>112</v>
      </c>
      <c r="C12" s="5">
        <v>934</v>
      </c>
      <c r="D12" s="4" t="s">
        <v>70</v>
      </c>
      <c r="E12" s="4" t="s">
        <v>105</v>
      </c>
      <c r="F12" s="6">
        <v>37.862000000000002</v>
      </c>
      <c r="G12" s="6">
        <v>25.819500000000001</v>
      </c>
      <c r="H12" s="7">
        <v>-720</v>
      </c>
      <c r="I12" s="4" t="s">
        <v>218</v>
      </c>
      <c r="J12" s="4" t="s">
        <v>241</v>
      </c>
      <c r="K12" s="6">
        <v>36.404000000000003</v>
      </c>
      <c r="L12" s="6">
        <v>25.396000000000001</v>
      </c>
      <c r="M12" s="5" t="s">
        <v>340</v>
      </c>
      <c r="N12" s="5" t="s">
        <v>340</v>
      </c>
      <c r="O12" s="4" t="s">
        <v>246</v>
      </c>
      <c r="P12" s="5">
        <v>11</v>
      </c>
      <c r="Q12" s="5">
        <v>9999</v>
      </c>
      <c r="R12" s="4" t="s">
        <v>41</v>
      </c>
      <c r="S12" s="4" t="s">
        <v>256</v>
      </c>
      <c r="T12" s="7">
        <v>21353</v>
      </c>
      <c r="U12" s="7">
        <v>22170</v>
      </c>
      <c r="V12" s="7">
        <v>22575</v>
      </c>
      <c r="W12" s="15" t="s">
        <v>933</v>
      </c>
      <c r="X12" s="15" t="s">
        <v>1358</v>
      </c>
      <c r="Y12" s="7" t="s">
        <v>340</v>
      </c>
      <c r="Z12" s="7" t="s">
        <v>340</v>
      </c>
      <c r="AA12" s="7" t="s">
        <v>340</v>
      </c>
      <c r="AB12" s="7" t="s">
        <v>340</v>
      </c>
      <c r="AC12" s="7" t="s">
        <v>340</v>
      </c>
      <c r="AD12" s="7" t="s">
        <v>340</v>
      </c>
      <c r="AE12" s="7">
        <v>22101</v>
      </c>
      <c r="AF12" s="7">
        <v>308</v>
      </c>
      <c r="AG12" s="7" t="s">
        <v>340</v>
      </c>
      <c r="AH12" s="5">
        <v>1</v>
      </c>
      <c r="AI12" s="5">
        <v>1</v>
      </c>
      <c r="AJ12" s="9">
        <f>IF(AND(ISNUMBER(F12),ISNUMBER(G12),ISNUMBER(K12),ISNUMBER(L12)),ACOS(MIN(1,COS(RADIANS(90-F12))*COS(RADIANS(90-K12))+SIN(RADIANS(90-F12))*SIN(RADIANS(90-K12))*COS(RADIANS(G12-L12))))*6371,"N/A")</f>
        <v>166.41169955685925</v>
      </c>
      <c r="AK12" s="10">
        <f>IF(AND(ISNUMBER(F12),ISNUMBER(G12),ISNUMBER(K12),ISNUMBER(L12)),MOD(DEGREES(ATAN2(COS(RADIANS(K12))*SIN(RADIANS(F12))-SIN(RADIANS(K12))*COS(RADIANS(F12))*COS(RADIANS(G12-L12)),SIN(RADIANS(G12-L12))*COS(RADIANS(F12))))+360,360),"N/A")</f>
        <v>12.910750172807013</v>
      </c>
      <c r="AL12" s="10" t="str">
        <f>IF(AND(ISNUMBER(F12),ISNUMBER(G12),ISNUMBER(M12),ISNUMBER(N12)),ACOS(MIN(1,COS(RADIANS(90-F12))*COS(RADIANS(90-M12))+SIN(RADIANS(90-F12))*SIN(RADIANS(90-M12))*COS(RADIANS(G12-N12))))*6371,"N/A")</f>
        <v>N/A</v>
      </c>
      <c r="AM12" s="10" t="str">
        <f>IF(AND(ISNUMBER(F12),ISNUMBER(G12),ISNUMBER(M12),ISNUMBER(N12)),MOD(DEGREES(ATAN2(COS(RADIANS(M12))*SIN(RADIANS(F12))-SIN(RADIANS(M12))*COS(RADIANS(F12))*COS(RADIANS(G12-N12)),SIN(RADIANS(G12-N12))*COS(RADIANS(F12))))+360,360),"N/A")</f>
        <v>N/A</v>
      </c>
      <c r="AN12" s="2"/>
      <c r="AO12" s="2"/>
    </row>
    <row r="13" spans="1:41" x14ac:dyDescent="0.2">
      <c r="A13" s="4" t="s">
        <v>248</v>
      </c>
      <c r="B13" s="4" t="s">
        <v>104</v>
      </c>
      <c r="C13" s="5">
        <v>932</v>
      </c>
      <c r="D13" s="4" t="s">
        <v>70</v>
      </c>
      <c r="E13" s="4" t="s">
        <v>105</v>
      </c>
      <c r="F13" s="6">
        <v>39.402999999999999</v>
      </c>
      <c r="G13" s="6">
        <v>26.0687</v>
      </c>
      <c r="H13" s="7">
        <v>-298</v>
      </c>
      <c r="I13" s="4" t="s">
        <v>218</v>
      </c>
      <c r="J13" s="4" t="s">
        <v>241</v>
      </c>
      <c r="K13" s="6">
        <v>36.404000000000003</v>
      </c>
      <c r="L13" s="6">
        <v>25.396000000000001</v>
      </c>
      <c r="M13" s="5" t="s">
        <v>340</v>
      </c>
      <c r="N13" s="5" t="s">
        <v>340</v>
      </c>
      <c r="O13" s="4" t="s">
        <v>246</v>
      </c>
      <c r="P13" s="5">
        <v>12</v>
      </c>
      <c r="Q13" s="5">
        <v>9999</v>
      </c>
      <c r="R13" s="4" t="s">
        <v>41</v>
      </c>
      <c r="S13" s="4" t="s">
        <v>1121</v>
      </c>
      <c r="T13" s="7">
        <v>21353</v>
      </c>
      <c r="U13" s="7">
        <v>22170</v>
      </c>
      <c r="V13" s="7">
        <v>22575</v>
      </c>
      <c r="W13" s="15" t="s">
        <v>933</v>
      </c>
      <c r="X13" s="15" t="s">
        <v>1358</v>
      </c>
      <c r="Y13" s="7" t="s">
        <v>340</v>
      </c>
      <c r="Z13" s="7" t="s">
        <v>340</v>
      </c>
      <c r="AA13" s="7" t="s">
        <v>340</v>
      </c>
      <c r="AB13" s="7" t="s">
        <v>340</v>
      </c>
      <c r="AC13" s="7" t="s">
        <v>340</v>
      </c>
      <c r="AD13" s="7" t="s">
        <v>340</v>
      </c>
      <c r="AE13" s="7">
        <v>22101</v>
      </c>
      <c r="AF13" s="7">
        <v>308</v>
      </c>
      <c r="AG13" s="7" t="s">
        <v>340</v>
      </c>
      <c r="AH13" s="5">
        <v>1</v>
      </c>
      <c r="AI13" s="5">
        <v>1</v>
      </c>
      <c r="AJ13" s="9">
        <f>IF(AND(ISNUMBER(F13),ISNUMBER(G13),ISNUMBER(K13),ISNUMBER(L13)),ACOS(MIN(1,COS(RADIANS(90-F13))*COS(RADIANS(90-K13))+SIN(RADIANS(90-F13))*SIN(RADIANS(90-K13))*COS(RADIANS(G13-L13))))*6371,"N/A")</f>
        <v>338.65305665773684</v>
      </c>
      <c r="AK13" s="10">
        <f>IF(AND(ISNUMBER(F13),ISNUMBER(G13),ISNUMBER(K13),ISNUMBER(L13)),MOD(DEGREES(ATAN2(COS(RADIANS(K13))*SIN(RADIANS(F13))-SIN(RADIANS(K13))*COS(RADIANS(F13))*COS(RADIANS(G13-L13)),SIN(RADIANS(G13-L13))*COS(RADIANS(F13))))+360,360),"N/A")</f>
        <v>9.8313450027600311</v>
      </c>
      <c r="AL13" s="10" t="str">
        <f>IF(AND(ISNUMBER(F13),ISNUMBER(G13),ISNUMBER(M13),ISNUMBER(N13)),ACOS(MIN(1,COS(RADIANS(90-F13))*COS(RADIANS(90-M13))+SIN(RADIANS(90-F13))*SIN(RADIANS(90-M13))*COS(RADIANS(G13-N13))))*6371,"N/A")</f>
        <v>N/A</v>
      </c>
      <c r="AM13" s="10" t="str">
        <f>IF(AND(ISNUMBER(F13),ISNUMBER(G13),ISNUMBER(M13),ISNUMBER(N13)),MOD(DEGREES(ATAN2(COS(RADIANS(M13))*SIN(RADIANS(F13))-SIN(RADIANS(M13))*COS(RADIANS(F13))*COS(RADIANS(G13-N13)),SIN(RADIANS(G13-N13))*COS(RADIANS(F13))))+360,360),"N/A")</f>
        <v>N/A</v>
      </c>
      <c r="AN13" s="2"/>
      <c r="AO13" s="2"/>
    </row>
    <row r="14" spans="1:41" x14ac:dyDescent="0.2">
      <c r="A14" s="4" t="s">
        <v>257</v>
      </c>
      <c r="B14" s="4" t="s">
        <v>113</v>
      </c>
      <c r="C14" s="5">
        <v>940</v>
      </c>
      <c r="D14" s="4" t="s">
        <v>70</v>
      </c>
      <c r="E14" s="4" t="s">
        <v>105</v>
      </c>
      <c r="F14" s="6">
        <v>39.468299999999999</v>
      </c>
      <c r="G14" s="6">
        <v>25.857299999999999</v>
      </c>
      <c r="H14" s="7">
        <v>-32</v>
      </c>
      <c r="I14" s="4" t="s">
        <v>218</v>
      </c>
      <c r="J14" s="4" t="s">
        <v>241</v>
      </c>
      <c r="K14" s="6">
        <v>36.404000000000003</v>
      </c>
      <c r="L14" s="6">
        <v>25.396000000000001</v>
      </c>
      <c r="M14" s="5" t="s">
        <v>340</v>
      </c>
      <c r="N14" s="5" t="s">
        <v>340</v>
      </c>
      <c r="O14" s="4" t="s">
        <v>246</v>
      </c>
      <c r="P14" s="5">
        <v>10</v>
      </c>
      <c r="Q14" s="5">
        <v>9999</v>
      </c>
      <c r="R14" s="4" t="s">
        <v>41</v>
      </c>
      <c r="S14" s="4" t="s">
        <v>1121</v>
      </c>
      <c r="T14" s="7">
        <v>21353</v>
      </c>
      <c r="U14" s="7">
        <v>22170</v>
      </c>
      <c r="V14" s="7">
        <v>22575</v>
      </c>
      <c r="W14" s="15" t="s">
        <v>933</v>
      </c>
      <c r="X14" s="15" t="s">
        <v>1358</v>
      </c>
      <c r="Y14" s="7" t="s">
        <v>340</v>
      </c>
      <c r="Z14" s="7" t="s">
        <v>340</v>
      </c>
      <c r="AA14" s="7" t="s">
        <v>340</v>
      </c>
      <c r="AB14" s="7" t="s">
        <v>340</v>
      </c>
      <c r="AC14" s="7" t="s">
        <v>340</v>
      </c>
      <c r="AD14" s="7" t="s">
        <v>340</v>
      </c>
      <c r="AE14" s="7">
        <v>22101</v>
      </c>
      <c r="AF14" s="7">
        <v>308</v>
      </c>
      <c r="AG14" s="7" t="s">
        <v>340</v>
      </c>
      <c r="AH14" s="5">
        <v>1</v>
      </c>
      <c r="AI14" s="5">
        <v>1</v>
      </c>
      <c r="AJ14" s="9">
        <f>IF(AND(ISNUMBER(F14),ISNUMBER(G14),ISNUMBER(K14),ISNUMBER(L14)),ACOS(MIN(1,COS(RADIANS(90-F14))*COS(RADIANS(90-K14))+SIN(RADIANS(90-F14))*SIN(RADIANS(90-K14))*COS(RADIANS(G14-L14))))*6371,"N/A")</f>
        <v>343.12625210582974</v>
      </c>
      <c r="AK14" s="10">
        <f>IF(AND(ISNUMBER(F14),ISNUMBER(G14),ISNUMBER(K14),ISNUMBER(L14)),MOD(DEGREES(ATAN2(COS(RADIANS(K14))*SIN(RADIANS(F14))-SIN(RADIANS(K14))*COS(RADIANS(F14))*COS(RADIANS(G14-L14)),SIN(RADIANS(G14-L14))*COS(RADIANS(F14))))+360,360),"N/A")</f>
        <v>6.6300386577252652</v>
      </c>
      <c r="AL14" s="10" t="str">
        <f>IF(AND(ISNUMBER(F14),ISNUMBER(G14),ISNUMBER(M14),ISNUMBER(N14)),ACOS(MIN(1,COS(RADIANS(90-F14))*COS(RADIANS(90-M14))+SIN(RADIANS(90-F14))*SIN(RADIANS(90-M14))*COS(RADIANS(G14-N14))))*6371,"N/A")</f>
        <v>N/A</v>
      </c>
      <c r="AM14" s="10" t="str">
        <f>IF(AND(ISNUMBER(F14),ISNUMBER(G14),ISNUMBER(M14),ISNUMBER(N14)),MOD(DEGREES(ATAN2(COS(RADIANS(M14))*SIN(RADIANS(F14))-SIN(RADIANS(M14))*COS(RADIANS(F14))*COS(RADIANS(G14-N14)),SIN(RADIANS(G14-N14))*COS(RADIANS(F14))))+360,360),"N/A")</f>
        <v>N/A</v>
      </c>
      <c r="AN14" s="2"/>
      <c r="AO14" s="2"/>
    </row>
    <row r="15" spans="1:41" x14ac:dyDescent="0.2">
      <c r="A15" s="4" t="s">
        <v>247</v>
      </c>
      <c r="B15" s="4" t="s">
        <v>102</v>
      </c>
      <c r="C15" s="5">
        <v>931</v>
      </c>
      <c r="D15" s="4" t="s">
        <v>70</v>
      </c>
      <c r="E15" s="4" t="s">
        <v>103</v>
      </c>
      <c r="F15" s="6">
        <v>40.836500000000001</v>
      </c>
      <c r="G15" s="6">
        <v>27.757300000000001</v>
      </c>
      <c r="H15" s="7">
        <v>-567</v>
      </c>
      <c r="I15" s="4" t="s">
        <v>218</v>
      </c>
      <c r="J15" s="4" t="s">
        <v>241</v>
      </c>
      <c r="K15" s="6">
        <v>36.404000000000003</v>
      </c>
      <c r="L15" s="6">
        <v>25.396000000000001</v>
      </c>
      <c r="M15" s="5" t="s">
        <v>340</v>
      </c>
      <c r="N15" s="5" t="s">
        <v>340</v>
      </c>
      <c r="O15" s="4" t="s">
        <v>246</v>
      </c>
      <c r="P15" s="5">
        <v>11</v>
      </c>
      <c r="Q15" s="5">
        <v>9999</v>
      </c>
      <c r="R15" s="4" t="s">
        <v>41</v>
      </c>
      <c r="S15" s="4" t="s">
        <v>1121</v>
      </c>
      <c r="T15" s="7">
        <v>21353</v>
      </c>
      <c r="U15" s="7">
        <v>22170</v>
      </c>
      <c r="V15" s="7">
        <v>22575</v>
      </c>
      <c r="W15" s="15" t="s">
        <v>933</v>
      </c>
      <c r="X15" s="15" t="s">
        <v>1358</v>
      </c>
      <c r="Y15" s="7" t="s">
        <v>340</v>
      </c>
      <c r="Z15" s="7" t="s">
        <v>340</v>
      </c>
      <c r="AA15" s="7" t="s">
        <v>340</v>
      </c>
      <c r="AB15" s="7" t="s">
        <v>340</v>
      </c>
      <c r="AC15" s="7" t="s">
        <v>340</v>
      </c>
      <c r="AD15" s="7" t="s">
        <v>340</v>
      </c>
      <c r="AE15" s="7">
        <v>22101</v>
      </c>
      <c r="AF15" s="7">
        <v>308</v>
      </c>
      <c r="AG15" s="7" t="s">
        <v>340</v>
      </c>
      <c r="AH15" s="5">
        <v>1</v>
      </c>
      <c r="AI15" s="5">
        <v>1</v>
      </c>
      <c r="AJ15" s="9">
        <f>IF(AND(ISNUMBER(F15),ISNUMBER(G15),ISNUMBER(K15),ISNUMBER(L15)),ACOS(MIN(1,COS(RADIANS(90-F15))*COS(RADIANS(90-K15))+SIN(RADIANS(90-F15))*SIN(RADIANS(90-K15))*COS(RADIANS(G15-L15))))*6371,"N/A")</f>
        <v>533.79951683630168</v>
      </c>
      <c r="AK15" s="10">
        <f>IF(AND(ISNUMBER(F15),ISNUMBER(G15),ISNUMBER(K15),ISNUMBER(L15)),MOD(DEGREES(ATAN2(COS(RADIANS(K15))*SIN(RADIANS(F15))-SIN(RADIANS(K15))*COS(RADIANS(F15))*COS(RADIANS(G15-L15)),SIN(RADIANS(G15-L15))*COS(RADIANS(F15))))+360,360),"N/A")</f>
        <v>21.868349519375442</v>
      </c>
      <c r="AL15" s="10" t="str">
        <f>IF(AND(ISNUMBER(F15),ISNUMBER(G15),ISNUMBER(M15),ISNUMBER(N15)),ACOS(MIN(1,COS(RADIANS(90-F15))*COS(RADIANS(90-M15))+SIN(RADIANS(90-F15))*SIN(RADIANS(90-M15))*COS(RADIANS(G15-N15))))*6371,"N/A")</f>
        <v>N/A</v>
      </c>
      <c r="AM15" s="10" t="str">
        <f>IF(AND(ISNUMBER(F15),ISNUMBER(G15),ISNUMBER(M15),ISNUMBER(N15)),MOD(DEGREES(ATAN2(COS(RADIANS(M15))*SIN(RADIANS(F15))-SIN(RADIANS(M15))*COS(RADIANS(F15))*COS(RADIANS(G15-N15)),SIN(RADIANS(G15-N15))*COS(RADIANS(F15))))+360,360),"N/A")</f>
        <v>N/A</v>
      </c>
      <c r="AN15" s="2"/>
      <c r="AO15" s="2"/>
    </row>
    <row r="16" spans="1:41" x14ac:dyDescent="0.2">
      <c r="A16" s="4" t="s">
        <v>250</v>
      </c>
      <c r="B16" s="4" t="s">
        <v>107</v>
      </c>
      <c r="C16" s="5">
        <v>930</v>
      </c>
      <c r="D16" s="4" t="s">
        <v>70</v>
      </c>
      <c r="E16" s="4" t="s">
        <v>103</v>
      </c>
      <c r="F16" s="6">
        <v>40.671700000000001</v>
      </c>
      <c r="G16" s="6">
        <v>28.8565</v>
      </c>
      <c r="H16" s="7">
        <v>-257</v>
      </c>
      <c r="I16" s="4" t="s">
        <v>218</v>
      </c>
      <c r="J16" s="4" t="s">
        <v>241</v>
      </c>
      <c r="K16" s="6">
        <v>36.404000000000003</v>
      </c>
      <c r="L16" s="6">
        <v>25.396000000000001</v>
      </c>
      <c r="M16" s="5" t="s">
        <v>340</v>
      </c>
      <c r="N16" s="5" t="s">
        <v>340</v>
      </c>
      <c r="O16" s="4" t="s">
        <v>246</v>
      </c>
      <c r="P16" s="5">
        <v>12</v>
      </c>
      <c r="Q16" s="5">
        <v>9999</v>
      </c>
      <c r="R16" s="4" t="s">
        <v>41</v>
      </c>
      <c r="S16" s="4" t="s">
        <v>1121</v>
      </c>
      <c r="T16" s="7">
        <v>21353</v>
      </c>
      <c r="U16" s="7">
        <v>22170</v>
      </c>
      <c r="V16" s="7">
        <v>22575</v>
      </c>
      <c r="W16" s="15" t="s">
        <v>933</v>
      </c>
      <c r="X16" s="15" t="s">
        <v>1358</v>
      </c>
      <c r="Y16" s="7" t="s">
        <v>340</v>
      </c>
      <c r="Z16" s="7" t="s">
        <v>340</v>
      </c>
      <c r="AA16" s="7" t="s">
        <v>340</v>
      </c>
      <c r="AB16" s="7" t="s">
        <v>340</v>
      </c>
      <c r="AC16" s="7" t="s">
        <v>340</v>
      </c>
      <c r="AD16" s="7" t="s">
        <v>340</v>
      </c>
      <c r="AE16" s="7">
        <v>22101</v>
      </c>
      <c r="AF16" s="7">
        <v>308</v>
      </c>
      <c r="AG16" s="7" t="s">
        <v>340</v>
      </c>
      <c r="AH16" s="5">
        <v>1</v>
      </c>
      <c r="AI16" s="5">
        <v>1</v>
      </c>
      <c r="AJ16" s="9">
        <f>IF(AND(ISNUMBER(F16),ISNUMBER(G16),ISNUMBER(K16),ISNUMBER(L16)),ACOS(MIN(1,COS(RADIANS(90-F16))*COS(RADIANS(90-K16))+SIN(RADIANS(90-F16))*SIN(RADIANS(90-K16))*COS(RADIANS(G16-L16))))*6371,"N/A")</f>
        <v>561.82916125723773</v>
      </c>
      <c r="AK16" s="10">
        <f>IF(AND(ISNUMBER(F16),ISNUMBER(G16),ISNUMBER(K16),ISNUMBER(L16)),MOD(DEGREES(ATAN2(COS(RADIANS(K16))*SIN(RADIANS(F16))-SIN(RADIANS(K16))*COS(RADIANS(F16))*COS(RADIANS(G16-L16)),SIN(RADIANS(G16-L16))*COS(RADIANS(F16))))+360,360),"N/A")</f>
        <v>31.319866484154318</v>
      </c>
      <c r="AL16" s="10" t="str">
        <f>IF(AND(ISNUMBER(F16),ISNUMBER(G16),ISNUMBER(M16),ISNUMBER(N16)),ACOS(MIN(1,COS(RADIANS(90-F16))*COS(RADIANS(90-M16))+SIN(RADIANS(90-F16))*SIN(RADIANS(90-M16))*COS(RADIANS(G16-N16))))*6371,"N/A")</f>
        <v>N/A</v>
      </c>
      <c r="AM16" s="10" t="str">
        <f>IF(AND(ISNUMBER(F16),ISNUMBER(G16),ISNUMBER(M16),ISNUMBER(N16)),MOD(DEGREES(ATAN2(COS(RADIANS(M16))*SIN(RADIANS(F16))-SIN(RADIANS(M16))*COS(RADIANS(F16))*COS(RADIANS(G16-N16)),SIN(RADIANS(G16-N16))*COS(RADIANS(F16))))+360,360),"N/A")</f>
        <v>N/A</v>
      </c>
      <c r="AN16" s="2"/>
      <c r="AO16" s="2"/>
    </row>
    <row r="17" spans="1:41" x14ac:dyDescent="0.2">
      <c r="A17" s="4" t="s">
        <v>249</v>
      </c>
      <c r="B17" s="4" t="s">
        <v>106</v>
      </c>
      <c r="C17" s="5">
        <v>929</v>
      </c>
      <c r="D17" s="4" t="s">
        <v>70</v>
      </c>
      <c r="E17" s="4" t="s">
        <v>103</v>
      </c>
      <c r="F17" s="6">
        <v>40.845799999999997</v>
      </c>
      <c r="G17" s="6">
        <v>27.755299999999998</v>
      </c>
      <c r="H17" s="7">
        <v>-621</v>
      </c>
      <c r="I17" s="4" t="s">
        <v>218</v>
      </c>
      <c r="J17" s="4" t="s">
        <v>241</v>
      </c>
      <c r="K17" s="6">
        <v>36.404000000000003</v>
      </c>
      <c r="L17" s="6">
        <v>25.396000000000001</v>
      </c>
      <c r="M17" s="5" t="s">
        <v>340</v>
      </c>
      <c r="N17" s="5" t="s">
        <v>340</v>
      </c>
      <c r="O17" s="4" t="s">
        <v>246</v>
      </c>
      <c r="P17" s="5">
        <v>16</v>
      </c>
      <c r="Q17" s="5">
        <v>9999</v>
      </c>
      <c r="R17" s="4" t="s">
        <v>41</v>
      </c>
      <c r="S17" s="4" t="s">
        <v>1120</v>
      </c>
      <c r="T17" s="7">
        <v>21353</v>
      </c>
      <c r="U17" s="7">
        <v>22170</v>
      </c>
      <c r="V17" s="7">
        <v>22575</v>
      </c>
      <c r="W17" s="15" t="s">
        <v>933</v>
      </c>
      <c r="X17" s="15" t="s">
        <v>1358</v>
      </c>
      <c r="Y17" s="7" t="s">
        <v>340</v>
      </c>
      <c r="Z17" s="7" t="s">
        <v>340</v>
      </c>
      <c r="AA17" s="7" t="s">
        <v>340</v>
      </c>
      <c r="AB17" s="7" t="s">
        <v>340</v>
      </c>
      <c r="AC17" s="7" t="s">
        <v>340</v>
      </c>
      <c r="AD17" s="7" t="s">
        <v>340</v>
      </c>
      <c r="AE17" s="7">
        <v>22101</v>
      </c>
      <c r="AF17" s="7">
        <v>308</v>
      </c>
      <c r="AG17" s="7" t="s">
        <v>340</v>
      </c>
      <c r="AH17" s="5">
        <v>1</v>
      </c>
      <c r="AI17" s="5">
        <v>1</v>
      </c>
      <c r="AJ17" s="9">
        <f>IF(AND(ISNUMBER(F17),ISNUMBER(G17),ISNUMBER(K17),ISNUMBER(L17)),ACOS(MIN(1,COS(RADIANS(90-F17))*COS(RADIANS(90-K17))+SIN(RADIANS(90-F17))*SIN(RADIANS(90-K17))*COS(RADIANS(G17-L17))))*6371,"N/A")</f>
        <v>534.68262231860535</v>
      </c>
      <c r="AK17" s="10">
        <f>IF(AND(ISNUMBER(F17),ISNUMBER(G17),ISNUMBER(K17),ISNUMBER(L17)),MOD(DEGREES(ATAN2(COS(RADIANS(K17))*SIN(RADIANS(F17))-SIN(RADIANS(K17))*COS(RADIANS(F17))*COS(RADIANS(G17-L17)),SIN(RADIANS(G17-L17))*COS(RADIANS(F17))))+360,360),"N/A")</f>
        <v>21.807817496270559</v>
      </c>
      <c r="AL17" s="10" t="str">
        <f>IF(AND(ISNUMBER(F17),ISNUMBER(G17),ISNUMBER(M17),ISNUMBER(N17)),ACOS(MIN(1,COS(RADIANS(90-F17))*COS(RADIANS(90-M17))+SIN(RADIANS(90-F17))*SIN(RADIANS(90-M17))*COS(RADIANS(G17-N17))))*6371,"N/A")</f>
        <v>N/A</v>
      </c>
      <c r="AM17" s="10" t="str">
        <f>IF(AND(ISNUMBER(F17),ISNUMBER(G17),ISNUMBER(M17),ISNUMBER(N17)),MOD(DEGREES(ATAN2(COS(RADIANS(M17))*SIN(RADIANS(F17))-SIN(RADIANS(M17))*COS(RADIANS(F17))*COS(RADIANS(G17-N17)),SIN(RADIANS(G17-N17))*COS(RADIANS(F17))))+360,360),"N/A")</f>
        <v>N/A</v>
      </c>
      <c r="AN17" s="2"/>
      <c r="AO17" s="2"/>
    </row>
    <row r="18" spans="1:41" x14ac:dyDescent="0.2">
      <c r="A18" s="4" t="s">
        <v>252</v>
      </c>
      <c r="B18" s="4" t="s">
        <v>109</v>
      </c>
      <c r="C18" s="5">
        <v>936</v>
      </c>
      <c r="D18" s="4" t="s">
        <v>70</v>
      </c>
      <c r="E18" s="4" t="s">
        <v>105</v>
      </c>
      <c r="F18" s="6">
        <v>37.172699999999999</v>
      </c>
      <c r="G18" s="6">
        <v>26.442499999999999</v>
      </c>
      <c r="H18" s="7">
        <v>-494</v>
      </c>
      <c r="I18" s="4" t="s">
        <v>218</v>
      </c>
      <c r="J18" s="4" t="s">
        <v>241</v>
      </c>
      <c r="K18" s="6">
        <v>36.404000000000003</v>
      </c>
      <c r="L18" s="6">
        <v>25.396000000000001</v>
      </c>
      <c r="M18" s="5" t="s">
        <v>340</v>
      </c>
      <c r="N18" s="5" t="s">
        <v>340</v>
      </c>
      <c r="O18" s="4" t="s">
        <v>387</v>
      </c>
      <c r="P18" s="5">
        <v>15</v>
      </c>
      <c r="Q18" s="5">
        <v>9999</v>
      </c>
      <c r="R18" s="4" t="s">
        <v>41</v>
      </c>
      <c r="S18" s="4" t="s">
        <v>1121</v>
      </c>
      <c r="T18" s="7">
        <v>3510</v>
      </c>
      <c r="U18" s="7">
        <v>3535</v>
      </c>
      <c r="V18" s="7">
        <v>3559</v>
      </c>
      <c r="W18" s="21" t="s">
        <v>935</v>
      </c>
      <c r="X18" s="21" t="s">
        <v>852</v>
      </c>
      <c r="Y18" s="7" t="s">
        <v>340</v>
      </c>
      <c r="Z18" s="7" t="s">
        <v>340</v>
      </c>
      <c r="AA18" s="7" t="s">
        <v>340</v>
      </c>
      <c r="AB18" s="7" t="s">
        <v>340</v>
      </c>
      <c r="AC18" s="7" t="s">
        <v>340</v>
      </c>
      <c r="AD18" s="7" t="s">
        <v>340</v>
      </c>
      <c r="AE18" s="7">
        <v>3535</v>
      </c>
      <c r="AF18" s="7">
        <v>25</v>
      </c>
      <c r="AG18" s="7" t="s">
        <v>340</v>
      </c>
      <c r="AH18" s="5">
        <v>1</v>
      </c>
      <c r="AI18" s="5">
        <v>1</v>
      </c>
      <c r="AJ18" s="9">
        <f>IF(AND(ISNUMBER(F18),ISNUMBER(G18),ISNUMBER(K18),ISNUMBER(L18)),ACOS(MIN(1,COS(RADIANS(90-F18))*COS(RADIANS(90-K18))+SIN(RADIANS(90-F18))*SIN(RADIANS(90-K18))*COS(RADIANS(G18-L18))))*6371,"N/A")</f>
        <v>126.45283698453127</v>
      </c>
      <c r="AK18" s="10">
        <f>IF(AND(ISNUMBER(F18),ISNUMBER(G18),ISNUMBER(K18),ISNUMBER(L18)),MOD(DEGREES(ATAN2(COS(RADIANS(K18))*SIN(RADIANS(F18))-SIN(RADIANS(K18))*COS(RADIANS(F18))*COS(RADIANS(G18-L18)),SIN(RADIANS(G18-L18))*COS(RADIANS(F18))))+360,360),"N/A")</f>
        <v>47.160546579817776</v>
      </c>
      <c r="AL18" s="10" t="str">
        <f>IF(AND(ISNUMBER(F18),ISNUMBER(G18),ISNUMBER(M18),ISNUMBER(N18)),ACOS(MIN(1,COS(RADIANS(90-F18))*COS(RADIANS(90-M18))+SIN(RADIANS(90-F18))*SIN(RADIANS(90-M18))*COS(RADIANS(G18-N18))))*6371,"N/A")</f>
        <v>N/A</v>
      </c>
      <c r="AM18" s="10" t="str">
        <f>IF(AND(ISNUMBER(F18),ISNUMBER(G18),ISNUMBER(M18),ISNUMBER(N18)),MOD(DEGREES(ATAN2(COS(RADIANS(M18))*SIN(RADIANS(F18))-SIN(RADIANS(M18))*COS(RADIANS(F18))*COS(RADIANS(G18-N18)),SIN(RADIANS(G18-N18))*COS(RADIANS(F18))))+360,360),"N/A")</f>
        <v>N/A</v>
      </c>
      <c r="AN18" s="2"/>
      <c r="AO18" s="2"/>
    </row>
    <row r="19" spans="1:41" x14ac:dyDescent="0.2">
      <c r="A19" s="4" t="s">
        <v>134</v>
      </c>
      <c r="B19" s="4" t="s">
        <v>555</v>
      </c>
      <c r="C19" s="5">
        <v>914</v>
      </c>
      <c r="D19" s="4" t="s">
        <v>70</v>
      </c>
      <c r="E19" s="4" t="s">
        <v>131</v>
      </c>
      <c r="F19" s="6">
        <v>38.975700000000003</v>
      </c>
      <c r="G19" s="6">
        <v>14.6724</v>
      </c>
      <c r="H19" s="7">
        <v>-3036</v>
      </c>
      <c r="I19" s="4" t="s">
        <v>132</v>
      </c>
      <c r="J19" s="4" t="s">
        <v>15</v>
      </c>
      <c r="K19" s="6">
        <v>40.826999999999998</v>
      </c>
      <c r="L19" s="6">
        <v>14.138999999999999</v>
      </c>
      <c r="M19" s="5" t="s">
        <v>340</v>
      </c>
      <c r="N19" s="5" t="s">
        <v>340</v>
      </c>
      <c r="O19" s="4" t="s">
        <v>440</v>
      </c>
      <c r="P19" s="5">
        <v>22</v>
      </c>
      <c r="Q19" s="5" t="s">
        <v>340</v>
      </c>
      <c r="R19" s="4" t="s">
        <v>41</v>
      </c>
      <c r="S19" s="4" t="s">
        <v>1121</v>
      </c>
      <c r="T19" s="7">
        <v>12116</v>
      </c>
      <c r="U19" s="7">
        <v>12388</v>
      </c>
      <c r="V19" s="7">
        <v>12482</v>
      </c>
      <c r="W19" s="15" t="s">
        <v>1335</v>
      </c>
      <c r="X19" s="15" t="s">
        <v>1361</v>
      </c>
      <c r="Y19" s="7">
        <v>10330</v>
      </c>
      <c r="Z19" s="7">
        <v>50</v>
      </c>
      <c r="AA19" s="7" t="s">
        <v>340</v>
      </c>
      <c r="AB19" s="7" t="s">
        <v>340</v>
      </c>
      <c r="AC19" s="7" t="s">
        <v>340</v>
      </c>
      <c r="AD19" s="7" t="s">
        <v>340</v>
      </c>
      <c r="AE19" s="7">
        <v>12357</v>
      </c>
      <c r="AF19" s="7">
        <v>100</v>
      </c>
      <c r="AG19" s="7" t="s">
        <v>340</v>
      </c>
      <c r="AH19" s="5">
        <v>1</v>
      </c>
      <c r="AI19" s="5">
        <v>1</v>
      </c>
      <c r="AJ19" s="9">
        <f>IF(AND(ISNUMBER(F19),ISNUMBER(G19),ISNUMBER(K19),ISNUMBER(L19)),ACOS(MIN(1,COS(RADIANS(90-F19))*COS(RADIANS(90-K19))+SIN(RADIANS(90-F19))*SIN(RADIANS(90-K19))*COS(RADIANS(G19-L19))))*6371,"N/A")</f>
        <v>210.82244120252295</v>
      </c>
      <c r="AK19" s="10">
        <f>IF(AND(ISNUMBER(F19),ISNUMBER(G19),ISNUMBER(K19),ISNUMBER(L19)),MOD(DEGREES(ATAN2(COS(RADIANS(K19))*SIN(RADIANS(F19))-SIN(RADIANS(K19))*COS(RADIANS(F19))*COS(RADIANS(G19-L19)),SIN(RADIANS(G19-L19))*COS(RADIANS(F19))))+360,360),"N/A")</f>
        <v>167.36444121040267</v>
      </c>
      <c r="AL19" s="10" t="str">
        <f>IF(AND(ISNUMBER(F19),ISNUMBER(G19),ISNUMBER(M19),ISNUMBER(N19)),ACOS(MIN(1,COS(RADIANS(90-F19))*COS(RADIANS(90-M19))+SIN(RADIANS(90-F19))*SIN(RADIANS(90-M19))*COS(RADIANS(G19-N19))))*6371,"N/A")</f>
        <v>N/A</v>
      </c>
      <c r="AM19" s="10" t="str">
        <f>IF(AND(ISNUMBER(F19),ISNUMBER(G19),ISNUMBER(M19),ISNUMBER(N19)),MOD(DEGREES(ATAN2(COS(RADIANS(M19))*SIN(RADIANS(F19))-SIN(RADIANS(M19))*COS(RADIANS(F19))*COS(RADIANS(G19-N19)),SIN(RADIANS(G19-N19))*COS(RADIANS(F19))))+360,360),"N/A")</f>
        <v>N/A</v>
      </c>
      <c r="AN19" s="2"/>
      <c r="AO19" s="2"/>
    </row>
    <row r="20" spans="1:41" x14ac:dyDescent="0.2">
      <c r="A20" s="4" t="s">
        <v>130</v>
      </c>
      <c r="B20" s="4" t="s">
        <v>555</v>
      </c>
      <c r="C20" s="5">
        <v>914</v>
      </c>
      <c r="D20" s="4" t="s">
        <v>70</v>
      </c>
      <c r="E20" s="4" t="s">
        <v>131</v>
      </c>
      <c r="F20" s="6">
        <v>38.975700000000003</v>
      </c>
      <c r="G20" s="6">
        <v>14.6724</v>
      </c>
      <c r="H20" s="7">
        <v>-3036</v>
      </c>
      <c r="I20" s="4" t="s">
        <v>132</v>
      </c>
      <c r="J20" s="4" t="s">
        <v>53</v>
      </c>
      <c r="K20" s="6">
        <v>38.49</v>
      </c>
      <c r="L20" s="6">
        <v>14.933</v>
      </c>
      <c r="M20" s="5" t="s">
        <v>340</v>
      </c>
      <c r="N20" s="5" t="s">
        <v>340</v>
      </c>
      <c r="O20" s="4" t="s">
        <v>439</v>
      </c>
      <c r="P20" s="5">
        <v>29</v>
      </c>
      <c r="Q20" s="5" t="s">
        <v>340</v>
      </c>
      <c r="R20" s="4" t="s">
        <v>41</v>
      </c>
      <c r="S20" s="4" t="s">
        <v>1121</v>
      </c>
      <c r="T20" s="7">
        <v>1070</v>
      </c>
      <c r="U20" s="7">
        <v>1173</v>
      </c>
      <c r="V20" s="7">
        <v>1275</v>
      </c>
      <c r="W20" s="15" t="s">
        <v>1092</v>
      </c>
      <c r="X20" s="15" t="s">
        <v>1362</v>
      </c>
      <c r="Y20" s="7" t="s">
        <v>340</v>
      </c>
      <c r="Z20" s="7" t="s">
        <v>340</v>
      </c>
      <c r="AA20" s="7" t="s">
        <v>340</v>
      </c>
      <c r="AB20" s="7" t="s">
        <v>340</v>
      </c>
      <c r="AC20" s="7" t="s">
        <v>340</v>
      </c>
      <c r="AD20" s="7" t="s">
        <v>340</v>
      </c>
      <c r="AE20" s="7" t="s">
        <v>340</v>
      </c>
      <c r="AF20" s="7" t="s">
        <v>340</v>
      </c>
      <c r="AG20" s="7" t="s">
        <v>340</v>
      </c>
      <c r="AH20" s="5">
        <v>1</v>
      </c>
      <c r="AI20" s="5">
        <v>1</v>
      </c>
      <c r="AJ20" s="9">
        <f>IF(AND(ISNUMBER(F20),ISNUMBER(G20),ISNUMBER(K20),ISNUMBER(L20)),ACOS(MIN(1,COS(RADIANS(90-F20))*COS(RADIANS(90-K20))+SIN(RADIANS(90-F20))*SIN(RADIANS(90-K20))*COS(RADIANS(G20-L20))))*6371,"N/A")</f>
        <v>58.546977227656164</v>
      </c>
      <c r="AK20" s="10">
        <f>IF(AND(ISNUMBER(F20),ISNUMBER(G20),ISNUMBER(K20),ISNUMBER(L20)),MOD(DEGREES(ATAN2(COS(RADIANS(K20))*SIN(RADIANS(F20))-SIN(RADIANS(K20))*COS(RADIANS(F20))*COS(RADIANS(G20-L20)),SIN(RADIANS(G20-L20))*COS(RADIANS(F20))))+360,360),"N/A")</f>
        <v>337.36998753341908</v>
      </c>
      <c r="AL20" s="10" t="str">
        <f>IF(AND(ISNUMBER(F20),ISNUMBER(G20),ISNUMBER(M20),ISNUMBER(N20)),ACOS(MIN(1,COS(RADIANS(90-F20))*COS(RADIANS(90-M20))+SIN(RADIANS(90-F20))*SIN(RADIANS(90-M20))*COS(RADIANS(G20-N20))))*6371,"N/A")</f>
        <v>N/A</v>
      </c>
      <c r="AM20" s="10" t="str">
        <f>IF(AND(ISNUMBER(F20),ISNUMBER(G20),ISNUMBER(M20),ISNUMBER(N20)),MOD(DEGREES(ATAN2(COS(RADIANS(M20))*SIN(RADIANS(F20))-SIN(RADIANS(M20))*COS(RADIANS(F20))*COS(RADIANS(G20-N20)),SIN(RADIANS(G20-N20))*COS(RADIANS(F20))))+360,360),"N/A")</f>
        <v>N/A</v>
      </c>
      <c r="AN20" s="2"/>
      <c r="AO20" s="2"/>
    </row>
    <row r="21" spans="1:41" x14ac:dyDescent="0.2">
      <c r="A21" s="4" t="s">
        <v>554</v>
      </c>
      <c r="B21" s="4" t="s">
        <v>552</v>
      </c>
      <c r="C21" s="5" t="s">
        <v>340</v>
      </c>
      <c r="D21" s="4" t="s">
        <v>70</v>
      </c>
      <c r="E21" s="4" t="s">
        <v>101</v>
      </c>
      <c r="F21" s="6">
        <v>37.977221999999998</v>
      </c>
      <c r="G21" s="6">
        <v>18.184443999999999</v>
      </c>
      <c r="H21" s="7" t="s">
        <v>340</v>
      </c>
      <c r="I21" s="4" t="s">
        <v>553</v>
      </c>
      <c r="J21" s="4" t="s">
        <v>53</v>
      </c>
      <c r="K21" s="6">
        <v>38.49</v>
      </c>
      <c r="L21" s="6">
        <v>14.933</v>
      </c>
      <c r="M21" s="5" t="s">
        <v>340</v>
      </c>
      <c r="N21" s="5" t="s">
        <v>340</v>
      </c>
      <c r="O21" s="4" t="s">
        <v>444</v>
      </c>
      <c r="P21" s="5">
        <v>11</v>
      </c>
      <c r="Q21" s="5" t="s">
        <v>1028</v>
      </c>
      <c r="R21" s="4" t="s">
        <v>184</v>
      </c>
      <c r="S21" s="4" t="s">
        <v>1121</v>
      </c>
      <c r="T21" s="7">
        <v>7839</v>
      </c>
      <c r="U21" s="7">
        <v>8064</v>
      </c>
      <c r="V21" s="7">
        <v>8288</v>
      </c>
      <c r="W21" s="15" t="s">
        <v>1347</v>
      </c>
      <c r="X21" s="15" t="s">
        <v>1363</v>
      </c>
      <c r="Y21" s="7">
        <v>7770</v>
      </c>
      <c r="Z21" s="7">
        <v>70</v>
      </c>
      <c r="AA21" s="7" t="s">
        <v>340</v>
      </c>
      <c r="AB21" s="7" t="s">
        <v>340</v>
      </c>
      <c r="AC21" s="7" t="s">
        <v>340</v>
      </c>
      <c r="AD21" s="7" t="s">
        <v>340</v>
      </c>
      <c r="AE21" s="7" t="s">
        <v>340</v>
      </c>
      <c r="AF21" s="7" t="s">
        <v>340</v>
      </c>
      <c r="AG21" s="7" t="s">
        <v>340</v>
      </c>
      <c r="AH21" s="5">
        <v>1</v>
      </c>
      <c r="AI21" s="5">
        <v>1</v>
      </c>
      <c r="AJ21" s="9">
        <f>IF(AND(ISNUMBER(F21),ISNUMBER(G21),ISNUMBER(K21),ISNUMBER(L21)),ACOS(MIN(1,COS(RADIANS(90-F21))*COS(RADIANS(90-K21))+SIN(RADIANS(90-F21))*SIN(RADIANS(90-K21))*COS(RADIANS(G21-L21))))*6371,"N/A")</f>
        <v>289.64111034360968</v>
      </c>
      <c r="AK21" s="10">
        <f>IF(AND(ISNUMBER(F21),ISNUMBER(G21),ISNUMBER(K21),ISNUMBER(L21)),MOD(DEGREES(ATAN2(COS(RADIANS(K21))*SIN(RADIANS(F21))-SIN(RADIANS(K21))*COS(RADIANS(F21))*COS(RADIANS(G21-L21)),SIN(RADIANS(G21-L21))*COS(RADIANS(F21))))+360,360),"N/A")</f>
        <v>100.34334720303571</v>
      </c>
      <c r="AL21" s="10" t="str">
        <f>IF(AND(ISNUMBER(F21),ISNUMBER(G21),ISNUMBER(M21),ISNUMBER(N21)),ACOS(MIN(1,COS(RADIANS(90-F21))*COS(RADIANS(90-M21))+SIN(RADIANS(90-F21))*SIN(RADIANS(90-M21))*COS(RADIANS(G21-N21))))*6371,"N/A")</f>
        <v>N/A</v>
      </c>
      <c r="AM21" s="10" t="str">
        <f>IF(AND(ISNUMBER(F21),ISNUMBER(G21),ISNUMBER(M21),ISNUMBER(N21)),MOD(DEGREES(ATAN2(COS(RADIANS(M21))*SIN(RADIANS(F21))-SIN(RADIANS(M21))*COS(RADIANS(F21))*COS(RADIANS(G21-N21)),SIN(RADIANS(G21-N21))*COS(RADIANS(F21))))+360,360),"N/A")</f>
        <v>N/A</v>
      </c>
      <c r="AN21" s="2"/>
      <c r="AO21" s="2"/>
    </row>
    <row r="22" spans="1:41" x14ac:dyDescent="0.2">
      <c r="A22" s="4" t="s">
        <v>955</v>
      </c>
      <c r="B22" s="4" t="s">
        <v>956</v>
      </c>
      <c r="C22" s="5" t="s">
        <v>340</v>
      </c>
      <c r="D22" s="4" t="s">
        <v>957</v>
      </c>
      <c r="E22" s="4" t="s">
        <v>962</v>
      </c>
      <c r="F22" s="6">
        <v>26.234100000000002</v>
      </c>
      <c r="G22" s="6">
        <v>33.966999999999999</v>
      </c>
      <c r="H22" s="7" t="s">
        <v>340</v>
      </c>
      <c r="I22" s="4" t="s">
        <v>958</v>
      </c>
      <c r="J22" s="4" t="s">
        <v>368</v>
      </c>
      <c r="K22" s="6">
        <v>38.530999999999999</v>
      </c>
      <c r="L22" s="6">
        <v>35.447000000000003</v>
      </c>
      <c r="M22" s="5" t="s">
        <v>340</v>
      </c>
      <c r="N22" s="5" t="s">
        <v>340</v>
      </c>
      <c r="O22" s="4" t="s">
        <v>963</v>
      </c>
      <c r="P22" s="5">
        <v>16</v>
      </c>
      <c r="Q22" s="5" t="s">
        <v>959</v>
      </c>
      <c r="R22" s="4" t="s">
        <v>184</v>
      </c>
      <c r="S22" s="4" t="s">
        <v>964</v>
      </c>
      <c r="T22" s="7">
        <v>8410</v>
      </c>
      <c r="U22" s="7">
        <v>8960</v>
      </c>
      <c r="V22" s="7">
        <v>9510</v>
      </c>
      <c r="W22" s="15" t="s">
        <v>1338</v>
      </c>
      <c r="X22" s="15" t="s">
        <v>990</v>
      </c>
      <c r="Y22" s="7" t="s">
        <v>340</v>
      </c>
      <c r="Z22" s="7" t="s">
        <v>340</v>
      </c>
      <c r="AA22" s="7">
        <v>8960</v>
      </c>
      <c r="AB22" s="2">
        <v>550</v>
      </c>
      <c r="AC22" s="7" t="s">
        <v>340</v>
      </c>
      <c r="AD22" s="7" t="s">
        <v>340</v>
      </c>
      <c r="AE22" s="7" t="s">
        <v>340</v>
      </c>
      <c r="AF22" s="7" t="s">
        <v>340</v>
      </c>
      <c r="AG22" s="7" t="s">
        <v>340</v>
      </c>
      <c r="AH22" s="5">
        <v>1</v>
      </c>
      <c r="AI22" s="5">
        <v>1</v>
      </c>
      <c r="AJ22" s="9">
        <f>IF(AND(ISNUMBER(F22),ISNUMBER(G22),ISNUMBER(K22),ISNUMBER(L22)),ACOS(MIN(1,COS(RADIANS(90-F22))*COS(RADIANS(90-K22))+SIN(RADIANS(90-F22))*SIN(RADIANS(90-K22))*COS(RADIANS(G22-L22))))*6371,"N/A")</f>
        <v>1374.3377058582998</v>
      </c>
      <c r="AK22" s="10">
        <f>IF(AND(ISNUMBER(F22),ISNUMBER(G22),ISNUMBER(K22),ISNUMBER(L22)),MOD(DEGREES(ATAN2(COS(RADIANS(K22))*SIN(RADIANS(F22))-SIN(RADIANS(K22))*COS(RADIANS(F22))*COS(RADIANS(G22-L22)),SIN(RADIANS(G22-L22))*COS(RADIANS(F22))))+360,360),"N/A")</f>
        <v>186.21359452367867</v>
      </c>
      <c r="AL22" s="10" t="str">
        <f>IF(AND(ISNUMBER(F22),ISNUMBER(G22),ISNUMBER(M22),ISNUMBER(N22)),ACOS(MIN(1,COS(RADIANS(90-F22))*COS(RADIANS(90-M22))+SIN(RADIANS(90-F22))*SIN(RADIANS(90-M22))*COS(RADIANS(G22-N22))))*6371,"N/A")</f>
        <v>N/A</v>
      </c>
      <c r="AM22" s="10" t="str">
        <f>IF(AND(ISNUMBER(F22),ISNUMBER(G22),ISNUMBER(M22),ISNUMBER(N22)),MOD(DEGREES(ATAN2(COS(RADIANS(M22))*SIN(RADIANS(F22))-SIN(RADIANS(M22))*COS(RADIANS(F22))*COS(RADIANS(G22-N22)),SIN(RADIANS(G22-N22))*COS(RADIANS(F22))))+360,360),"N/A")</f>
        <v>N/A</v>
      </c>
      <c r="AN22" s="2"/>
      <c r="AO22" s="2"/>
    </row>
    <row r="23" spans="1:41" x14ac:dyDescent="0.2">
      <c r="A23" s="4" t="s">
        <v>960</v>
      </c>
      <c r="B23" s="4" t="s">
        <v>956</v>
      </c>
      <c r="C23" s="5" t="s">
        <v>340</v>
      </c>
      <c r="D23" s="4" t="s">
        <v>957</v>
      </c>
      <c r="E23" s="4" t="s">
        <v>962</v>
      </c>
      <c r="F23" s="6">
        <v>26.234100000000002</v>
      </c>
      <c r="G23" s="6">
        <v>33.966999999999999</v>
      </c>
      <c r="H23" s="7" t="s">
        <v>340</v>
      </c>
      <c r="I23" s="4" t="s">
        <v>958</v>
      </c>
      <c r="J23" s="4" t="s">
        <v>965</v>
      </c>
      <c r="K23" s="6">
        <v>38.654000000000003</v>
      </c>
      <c r="L23" s="6">
        <v>42.228999999999999</v>
      </c>
      <c r="M23" s="5" t="s">
        <v>340</v>
      </c>
      <c r="N23" s="5" t="s">
        <v>340</v>
      </c>
      <c r="O23" s="4" t="s">
        <v>438</v>
      </c>
      <c r="P23" s="5">
        <v>2</v>
      </c>
      <c r="Q23" s="5" t="s">
        <v>959</v>
      </c>
      <c r="R23" s="4" t="s">
        <v>184</v>
      </c>
      <c r="S23" s="4" t="s">
        <v>966</v>
      </c>
      <c r="T23" s="7">
        <v>8410</v>
      </c>
      <c r="U23" s="7">
        <v>8960</v>
      </c>
      <c r="V23" s="7">
        <v>9510</v>
      </c>
      <c r="W23" s="15" t="s">
        <v>1339</v>
      </c>
      <c r="X23" s="15" t="s">
        <v>991</v>
      </c>
      <c r="Y23" s="7" t="s">
        <v>340</v>
      </c>
      <c r="Z23" s="7" t="s">
        <v>340</v>
      </c>
      <c r="AA23" s="7" t="s">
        <v>340</v>
      </c>
      <c r="AB23" s="7" t="s">
        <v>340</v>
      </c>
      <c r="AC23" s="7" t="s">
        <v>340</v>
      </c>
      <c r="AD23" s="7" t="s">
        <v>340</v>
      </c>
      <c r="AE23" s="7" t="s">
        <v>340</v>
      </c>
      <c r="AF23" s="7" t="s">
        <v>340</v>
      </c>
      <c r="AG23" s="7" t="s">
        <v>340</v>
      </c>
      <c r="AH23" s="5">
        <v>1</v>
      </c>
      <c r="AI23" s="5">
        <v>1</v>
      </c>
      <c r="AJ23" s="9">
        <f>IF(AND(ISNUMBER(F23),ISNUMBER(G23),ISNUMBER(K23),ISNUMBER(L23)),ACOS(MIN(1,COS(RADIANS(90-F23))*COS(RADIANS(90-K23))+SIN(RADIANS(90-F23))*SIN(RADIANS(90-K23))*COS(RADIANS(G23-L23))))*6371,"N/A")</f>
        <v>1582.0272556930895</v>
      </c>
      <c r="AK23" s="10">
        <f>IF(AND(ISNUMBER(F23),ISNUMBER(G23),ISNUMBER(K23),ISNUMBER(L23)),MOD(DEGREES(ATAN2(COS(RADIANS(K23))*SIN(RADIANS(F23))-SIN(RADIANS(K23))*COS(RADIANS(F23))*COS(RADIANS(G23-L23)),SIN(RADIANS(G23-L23))*COS(RADIANS(F23))))+360,360),"N/A")</f>
        <v>211.63192653063317</v>
      </c>
      <c r="AL23" s="10" t="str">
        <f>IF(AND(ISNUMBER(F23),ISNUMBER(G23),ISNUMBER(M23),ISNUMBER(N23)),ACOS(MIN(1,COS(RADIANS(90-F23))*COS(RADIANS(90-M23))+SIN(RADIANS(90-F23))*SIN(RADIANS(90-M23))*COS(RADIANS(G23-N23))))*6371,"N/A")</f>
        <v>N/A</v>
      </c>
      <c r="AM23" s="10" t="str">
        <f>IF(AND(ISNUMBER(F23),ISNUMBER(G23),ISNUMBER(M23),ISNUMBER(N23)),MOD(DEGREES(ATAN2(COS(RADIANS(M23))*SIN(RADIANS(F23))-SIN(RADIANS(M23))*COS(RADIANS(F23))*COS(RADIANS(G23-N23)),SIN(RADIANS(G23-N23))*COS(RADIANS(F23))))+360,360),"N/A")</f>
        <v>N/A</v>
      </c>
      <c r="AN23" s="2"/>
      <c r="AO23" s="2"/>
    </row>
    <row r="24" spans="1:41" x14ac:dyDescent="0.2">
      <c r="A24" s="4" t="s">
        <v>961</v>
      </c>
      <c r="B24" s="4" t="s">
        <v>956</v>
      </c>
      <c r="C24" s="5" t="s">
        <v>340</v>
      </c>
      <c r="D24" s="4" t="s">
        <v>957</v>
      </c>
      <c r="E24" s="4" t="s">
        <v>962</v>
      </c>
      <c r="F24" s="6">
        <v>26.234100000000002</v>
      </c>
      <c r="G24" s="6">
        <v>33.966999999999999</v>
      </c>
      <c r="H24" s="7" t="s">
        <v>340</v>
      </c>
      <c r="I24" s="4" t="s">
        <v>958</v>
      </c>
      <c r="J24" s="4" t="s">
        <v>15</v>
      </c>
      <c r="K24" s="6">
        <v>40.826999999999998</v>
      </c>
      <c r="L24" s="6">
        <v>14.138999999999999</v>
      </c>
      <c r="M24" s="5" t="s">
        <v>340</v>
      </c>
      <c r="N24" s="5" t="s">
        <v>340</v>
      </c>
      <c r="O24" s="4" t="s">
        <v>14</v>
      </c>
      <c r="P24" s="5">
        <v>2</v>
      </c>
      <c r="Q24" s="5" t="s">
        <v>959</v>
      </c>
      <c r="R24" s="4" t="s">
        <v>184</v>
      </c>
      <c r="S24" s="4" t="s">
        <v>967</v>
      </c>
      <c r="T24" s="7">
        <v>8410</v>
      </c>
      <c r="U24" s="7">
        <v>8960</v>
      </c>
      <c r="V24" s="7">
        <v>9510</v>
      </c>
      <c r="W24" s="15" t="s">
        <v>1340</v>
      </c>
      <c r="X24" s="15" t="s">
        <v>991</v>
      </c>
      <c r="Y24" s="7" t="s">
        <v>340</v>
      </c>
      <c r="Z24" s="7" t="s">
        <v>340</v>
      </c>
      <c r="AA24" s="7" t="s">
        <v>340</v>
      </c>
      <c r="AB24" s="7" t="s">
        <v>340</v>
      </c>
      <c r="AC24" s="7" t="s">
        <v>340</v>
      </c>
      <c r="AD24" s="7" t="s">
        <v>340</v>
      </c>
      <c r="AE24" s="7" t="s">
        <v>340</v>
      </c>
      <c r="AF24" s="7" t="s">
        <v>340</v>
      </c>
      <c r="AG24" s="7" t="s">
        <v>340</v>
      </c>
      <c r="AH24" s="5">
        <v>1</v>
      </c>
      <c r="AI24" s="5">
        <v>1</v>
      </c>
      <c r="AJ24" s="9">
        <f>IF(AND(ISNUMBER(F24),ISNUMBER(G24),ISNUMBER(K24),ISNUMBER(L24)),ACOS(MIN(1,COS(RADIANS(90-F24))*COS(RADIANS(90-K24))+SIN(RADIANS(90-F24))*SIN(RADIANS(90-K24))*COS(RADIANS(G24-L24))))*6371,"N/A")</f>
        <v>2440.887419021848</v>
      </c>
      <c r="AK24" s="10">
        <f>IF(AND(ISNUMBER(F24),ISNUMBER(G24),ISNUMBER(K24),ISNUMBER(L24)),MOD(DEGREES(ATAN2(COS(RADIANS(K24))*SIN(RADIANS(F24))-SIN(RADIANS(K24))*COS(RADIANS(F24))*COS(RADIANS(G24-L24)),SIN(RADIANS(G24-L24))*COS(RADIANS(F24))))+360,360),"N/A")</f>
        <v>125.51959317632861</v>
      </c>
      <c r="AL24" s="10" t="str">
        <f>IF(AND(ISNUMBER(F24),ISNUMBER(G24),ISNUMBER(M24),ISNUMBER(N24)),ACOS(MIN(1,COS(RADIANS(90-F24))*COS(RADIANS(90-M24))+SIN(RADIANS(90-F24))*SIN(RADIANS(90-M24))*COS(RADIANS(G24-N24))))*6371,"N/A")</f>
        <v>N/A</v>
      </c>
      <c r="AM24" s="10" t="str">
        <f>IF(AND(ISNUMBER(F24),ISNUMBER(G24),ISNUMBER(M24),ISNUMBER(N24)),MOD(DEGREES(ATAN2(COS(RADIANS(M24))*SIN(RADIANS(F24))-SIN(RADIANS(M24))*COS(RADIANS(F24))*COS(RADIANS(G24-N24)),SIN(RADIANS(G24-N24))*COS(RADIANS(F24))))+360,360),"N/A")</f>
        <v>N/A</v>
      </c>
      <c r="AN24" s="2"/>
      <c r="AO24" s="2"/>
    </row>
    <row r="25" spans="1:41" x14ac:dyDescent="0.2">
      <c r="A25" s="4" t="s">
        <v>487</v>
      </c>
      <c r="B25" s="4" t="s">
        <v>120</v>
      </c>
      <c r="C25" s="5">
        <v>606</v>
      </c>
      <c r="D25" s="4" t="s">
        <v>70</v>
      </c>
      <c r="E25" s="4" t="s">
        <v>71</v>
      </c>
      <c r="F25" s="6">
        <v>42.676299999999998</v>
      </c>
      <c r="G25" s="6">
        <v>14.7704</v>
      </c>
      <c r="H25" s="7">
        <v>-185.5</v>
      </c>
      <c r="I25" s="4" t="s">
        <v>222</v>
      </c>
      <c r="J25" s="4" t="s">
        <v>15</v>
      </c>
      <c r="K25" s="6">
        <v>40.826999999999998</v>
      </c>
      <c r="L25" s="6">
        <v>14.138999999999999</v>
      </c>
      <c r="M25" s="5" t="s">
        <v>340</v>
      </c>
      <c r="N25" s="5" t="s">
        <v>340</v>
      </c>
      <c r="O25" s="4" t="s">
        <v>199</v>
      </c>
      <c r="P25" s="5">
        <v>29</v>
      </c>
      <c r="Q25" s="5" t="s">
        <v>490</v>
      </c>
      <c r="R25" s="4" t="s">
        <v>184</v>
      </c>
      <c r="S25" s="4" t="s">
        <v>1121</v>
      </c>
      <c r="T25" s="7">
        <v>4483</v>
      </c>
      <c r="U25" s="7">
        <v>4540</v>
      </c>
      <c r="V25" s="7">
        <v>4627</v>
      </c>
      <c r="W25" s="15" t="s">
        <v>928</v>
      </c>
      <c r="X25" s="21" t="s">
        <v>1357</v>
      </c>
      <c r="Y25" s="7" t="s">
        <v>340</v>
      </c>
      <c r="Z25" s="7" t="s">
        <v>340</v>
      </c>
      <c r="AA25" s="7" t="s">
        <v>340</v>
      </c>
      <c r="AB25" s="7" t="s">
        <v>340</v>
      </c>
      <c r="AC25" s="7">
        <v>5390</v>
      </c>
      <c r="AD25" s="7">
        <v>270</v>
      </c>
      <c r="AE25" s="7">
        <v>4546</v>
      </c>
      <c r="AF25" s="7">
        <v>36</v>
      </c>
      <c r="AG25" s="7" t="s">
        <v>340</v>
      </c>
      <c r="AH25" s="5">
        <v>1</v>
      </c>
      <c r="AI25" s="5">
        <v>1</v>
      </c>
      <c r="AJ25" s="9">
        <f>IF(AND(ISNUMBER(F25),ISNUMBER(G25),ISNUMBER(K25),ISNUMBER(L25)),ACOS(MIN(1,COS(RADIANS(90-F25))*COS(RADIANS(90-K25))+SIN(RADIANS(90-F25))*SIN(RADIANS(90-K25))*COS(RADIANS(G25-L25))))*6371,"N/A")</f>
        <v>212.19683300400132</v>
      </c>
      <c r="AK25" s="10">
        <f>IF(AND(ISNUMBER(F25),ISNUMBER(G25),ISNUMBER(K25),ISNUMBER(L25)),MOD(DEGREES(ATAN2(COS(RADIANS(K25))*SIN(RADIANS(F25))-SIN(RADIANS(K25))*COS(RADIANS(F25))*COS(RADIANS(G25-L25)),SIN(RADIANS(G25-L25))*COS(RADIANS(F25))))+360,360),"N/A")</f>
        <v>14.080816302589483</v>
      </c>
      <c r="AL25" s="10" t="str">
        <f>IF(AND(ISNUMBER(F25),ISNUMBER(G25),ISNUMBER(M25),ISNUMBER(N25)),ACOS(MIN(1,COS(RADIANS(90-F25))*COS(RADIANS(90-M25))+SIN(RADIANS(90-F25))*SIN(RADIANS(90-M25))*COS(RADIANS(G25-N25))))*6371,"N/A")</f>
        <v>N/A</v>
      </c>
      <c r="AM25" s="10" t="str">
        <f>IF(AND(ISNUMBER(F25),ISNUMBER(G25),ISNUMBER(M25),ISNUMBER(N25)),MOD(DEGREES(ATAN2(COS(RADIANS(M25))*SIN(RADIANS(F25))-SIN(RADIANS(M25))*COS(RADIANS(F25))*COS(RADIANS(G25-N25)),SIN(RADIANS(G25-N25))*COS(RADIANS(F25))))+360,360),"N/A")</f>
        <v>N/A</v>
      </c>
      <c r="AN25" s="2"/>
      <c r="AO25" s="2"/>
    </row>
    <row r="26" spans="1:41" x14ac:dyDescent="0.2">
      <c r="A26" s="4" t="s">
        <v>486</v>
      </c>
      <c r="B26" s="4" t="s">
        <v>120</v>
      </c>
      <c r="C26" s="5">
        <v>606</v>
      </c>
      <c r="D26" s="4" t="s">
        <v>70</v>
      </c>
      <c r="E26" s="4" t="s">
        <v>71</v>
      </c>
      <c r="F26" s="6">
        <v>42.676299999999998</v>
      </c>
      <c r="G26" s="6">
        <v>14.7704</v>
      </c>
      <c r="H26" s="7">
        <v>-185.5</v>
      </c>
      <c r="I26" s="4" t="s">
        <v>222</v>
      </c>
      <c r="J26" s="4" t="s">
        <v>15</v>
      </c>
      <c r="K26" s="6">
        <v>40.826999999999998</v>
      </c>
      <c r="L26" s="6">
        <v>14.138999999999999</v>
      </c>
      <c r="M26" s="5" t="s">
        <v>340</v>
      </c>
      <c r="N26" s="5" t="s">
        <v>340</v>
      </c>
      <c r="O26" s="4" t="s">
        <v>34</v>
      </c>
      <c r="P26" s="5">
        <v>26</v>
      </c>
      <c r="Q26" s="5" t="s">
        <v>491</v>
      </c>
      <c r="R26" s="4" t="s">
        <v>184</v>
      </c>
      <c r="S26" s="4" t="s">
        <v>1121</v>
      </c>
      <c r="T26" s="12">
        <v>9522</v>
      </c>
      <c r="U26" s="12">
        <v>9605</v>
      </c>
      <c r="V26" s="12">
        <v>9702</v>
      </c>
      <c r="W26" s="15" t="s">
        <v>928</v>
      </c>
      <c r="X26" s="21" t="s">
        <v>1357</v>
      </c>
      <c r="Y26" s="7" t="s">
        <v>340</v>
      </c>
      <c r="Z26" s="7" t="s">
        <v>340</v>
      </c>
      <c r="AA26" s="7" t="s">
        <v>340</v>
      </c>
      <c r="AB26" s="7" t="s">
        <v>340</v>
      </c>
      <c r="AC26" s="7">
        <v>9960</v>
      </c>
      <c r="AD26" s="7">
        <v>500</v>
      </c>
      <c r="AE26" s="7">
        <v>9610</v>
      </c>
      <c r="AF26" s="7">
        <v>54</v>
      </c>
      <c r="AG26" s="7" t="s">
        <v>340</v>
      </c>
      <c r="AH26" s="5">
        <v>1</v>
      </c>
      <c r="AI26" s="5">
        <v>1</v>
      </c>
      <c r="AJ26" s="9">
        <f>IF(AND(ISNUMBER(F26),ISNUMBER(G26),ISNUMBER(K26),ISNUMBER(L26)),ACOS(MIN(1,COS(RADIANS(90-F26))*COS(RADIANS(90-K26))+SIN(RADIANS(90-F26))*SIN(RADIANS(90-K26))*COS(RADIANS(G26-L26))))*6371,"N/A")</f>
        <v>212.19683300400132</v>
      </c>
      <c r="AK26" s="10">
        <f>IF(AND(ISNUMBER(F26),ISNUMBER(G26),ISNUMBER(K26),ISNUMBER(L26)),MOD(DEGREES(ATAN2(COS(RADIANS(K26))*SIN(RADIANS(F26))-SIN(RADIANS(K26))*COS(RADIANS(F26))*COS(RADIANS(G26-L26)),SIN(RADIANS(G26-L26))*COS(RADIANS(F26))))+360,360),"N/A")</f>
        <v>14.080816302589483</v>
      </c>
      <c r="AL26" s="10" t="str">
        <f>IF(AND(ISNUMBER(F26),ISNUMBER(G26),ISNUMBER(M26),ISNUMBER(N26)),ACOS(MIN(1,COS(RADIANS(90-F26))*COS(RADIANS(90-M26))+SIN(RADIANS(90-F26))*SIN(RADIANS(90-M26))*COS(RADIANS(G26-N26))))*6371,"N/A")</f>
        <v>N/A</v>
      </c>
      <c r="AM26" s="10" t="str">
        <f>IF(AND(ISNUMBER(F26),ISNUMBER(G26),ISNUMBER(M26),ISNUMBER(N26)),MOD(DEGREES(ATAN2(COS(RADIANS(M26))*SIN(RADIANS(F26))-SIN(RADIANS(M26))*COS(RADIANS(F26))*COS(RADIANS(G26-N26)),SIN(RADIANS(G26-N26))*COS(RADIANS(F26))))+360,360),"N/A")</f>
        <v>N/A</v>
      </c>
      <c r="AN26" s="2"/>
      <c r="AO26" s="2"/>
    </row>
    <row r="27" spans="1:41" x14ac:dyDescent="0.2">
      <c r="A27" s="4" t="s">
        <v>483</v>
      </c>
      <c r="B27" s="4" t="s">
        <v>120</v>
      </c>
      <c r="C27" s="5">
        <v>606</v>
      </c>
      <c r="D27" s="4" t="s">
        <v>70</v>
      </c>
      <c r="E27" s="4" t="s">
        <v>71</v>
      </c>
      <c r="F27" s="6">
        <v>42.676299999999998</v>
      </c>
      <c r="G27" s="6">
        <v>14.7704</v>
      </c>
      <c r="H27" s="7">
        <v>-185.5</v>
      </c>
      <c r="I27" s="4" t="s">
        <v>222</v>
      </c>
      <c r="J27" s="4" t="s">
        <v>15</v>
      </c>
      <c r="K27" s="6">
        <v>40.826999999999998</v>
      </c>
      <c r="L27" s="6">
        <v>14.138999999999999</v>
      </c>
      <c r="M27" s="5" t="s">
        <v>340</v>
      </c>
      <c r="N27" s="5" t="s">
        <v>340</v>
      </c>
      <c r="O27" s="4" t="s">
        <v>489</v>
      </c>
      <c r="P27" s="5">
        <v>20</v>
      </c>
      <c r="Q27" s="5" t="s">
        <v>494</v>
      </c>
      <c r="R27" s="4" t="s">
        <v>184</v>
      </c>
      <c r="S27" s="4" t="s">
        <v>1121</v>
      </c>
      <c r="T27" s="7">
        <v>15346</v>
      </c>
      <c r="U27" s="7">
        <v>15644</v>
      </c>
      <c r="V27" s="7">
        <v>15941</v>
      </c>
      <c r="W27" s="15" t="s">
        <v>1091</v>
      </c>
      <c r="X27" s="15" t="s">
        <v>1364</v>
      </c>
      <c r="Y27" s="7">
        <v>13070</v>
      </c>
      <c r="Z27" s="7">
        <v>90</v>
      </c>
      <c r="AA27" s="7" t="s">
        <v>340</v>
      </c>
      <c r="AB27" s="7" t="s">
        <v>340</v>
      </c>
      <c r="AC27" s="7" t="s">
        <v>340</v>
      </c>
      <c r="AD27" s="7" t="s">
        <v>340</v>
      </c>
      <c r="AE27" s="7" t="s">
        <v>340</v>
      </c>
      <c r="AF27" s="7" t="s">
        <v>340</v>
      </c>
      <c r="AG27" s="7" t="s">
        <v>340</v>
      </c>
      <c r="AH27" s="5">
        <v>1</v>
      </c>
      <c r="AI27" s="5">
        <v>1</v>
      </c>
      <c r="AJ27" s="9">
        <f>IF(AND(ISNUMBER(F27),ISNUMBER(G27),ISNUMBER(K27),ISNUMBER(L27)),ACOS(MIN(1,COS(RADIANS(90-F27))*COS(RADIANS(90-K27))+SIN(RADIANS(90-F27))*SIN(RADIANS(90-K27))*COS(RADIANS(G27-L27))))*6371,"N/A")</f>
        <v>212.19683300400132</v>
      </c>
      <c r="AK27" s="10">
        <f>IF(AND(ISNUMBER(F27),ISNUMBER(G27),ISNUMBER(K27),ISNUMBER(L27)),MOD(DEGREES(ATAN2(COS(RADIANS(K27))*SIN(RADIANS(F27))-SIN(RADIANS(K27))*COS(RADIANS(F27))*COS(RADIANS(G27-L27)),SIN(RADIANS(G27-L27))*COS(RADIANS(F27))))+360,360),"N/A")</f>
        <v>14.080816302589483</v>
      </c>
      <c r="AL27" s="10" t="str">
        <f>IF(AND(ISNUMBER(F27),ISNUMBER(G27),ISNUMBER(M27),ISNUMBER(N27)),ACOS(MIN(1,COS(RADIANS(90-F27))*COS(RADIANS(90-M27))+SIN(RADIANS(90-F27))*SIN(RADIANS(90-M27))*COS(RADIANS(G27-N27))))*6371,"N/A")</f>
        <v>N/A</v>
      </c>
      <c r="AM27" s="10" t="str">
        <f>IF(AND(ISNUMBER(F27),ISNUMBER(G27),ISNUMBER(M27),ISNUMBER(N27)),MOD(DEGREES(ATAN2(COS(RADIANS(M27))*SIN(RADIANS(F27))-SIN(RADIANS(M27))*COS(RADIANS(F27))*COS(RADIANS(G27-N27)),SIN(RADIANS(G27-N27))*COS(RADIANS(F27))))+360,360),"N/A")</f>
        <v>N/A</v>
      </c>
      <c r="AN27" s="2"/>
      <c r="AO27" s="2"/>
    </row>
    <row r="28" spans="1:41" x14ac:dyDescent="0.2">
      <c r="A28" s="4" t="s">
        <v>484</v>
      </c>
      <c r="B28" s="4" t="s">
        <v>120</v>
      </c>
      <c r="C28" s="5">
        <v>606</v>
      </c>
      <c r="D28" s="4" t="s">
        <v>70</v>
      </c>
      <c r="E28" s="4" t="s">
        <v>71</v>
      </c>
      <c r="F28" s="6">
        <v>42.676299999999998</v>
      </c>
      <c r="G28" s="6">
        <v>14.7704</v>
      </c>
      <c r="H28" s="7">
        <v>-185.5</v>
      </c>
      <c r="I28" s="4" t="s">
        <v>222</v>
      </c>
      <c r="J28" s="4" t="s">
        <v>15</v>
      </c>
      <c r="K28" s="6">
        <v>40.826999999999998</v>
      </c>
      <c r="L28" s="6">
        <v>14.138999999999999</v>
      </c>
      <c r="M28" s="5" t="s">
        <v>340</v>
      </c>
      <c r="N28" s="5" t="s">
        <v>340</v>
      </c>
      <c r="O28" s="4" t="s">
        <v>20</v>
      </c>
      <c r="P28" s="5">
        <v>26</v>
      </c>
      <c r="Q28" s="5" t="s">
        <v>493</v>
      </c>
      <c r="R28" s="4" t="s">
        <v>184</v>
      </c>
      <c r="S28" s="4" t="s">
        <v>1121</v>
      </c>
      <c r="T28" s="7">
        <v>13761</v>
      </c>
      <c r="U28" s="7">
        <v>14029</v>
      </c>
      <c r="V28" s="7">
        <v>14356</v>
      </c>
      <c r="W28" s="15" t="s">
        <v>933</v>
      </c>
      <c r="X28" s="15" t="s">
        <v>1358</v>
      </c>
      <c r="Y28" s="7" t="s">
        <v>340</v>
      </c>
      <c r="Z28" s="7" t="s">
        <v>340</v>
      </c>
      <c r="AA28" s="7" t="s">
        <v>340</v>
      </c>
      <c r="AB28" s="7" t="s">
        <v>340</v>
      </c>
      <c r="AC28" s="7">
        <v>14120</v>
      </c>
      <c r="AD28" s="7">
        <v>710</v>
      </c>
      <c r="AE28" s="7">
        <v>14037</v>
      </c>
      <c r="AF28" s="7">
        <v>156</v>
      </c>
      <c r="AG28" s="7" t="s">
        <v>340</v>
      </c>
      <c r="AH28" s="5">
        <v>1</v>
      </c>
      <c r="AI28" s="5">
        <v>1</v>
      </c>
      <c r="AJ28" s="9">
        <f>IF(AND(ISNUMBER(F28),ISNUMBER(G28),ISNUMBER(K28),ISNUMBER(L28)),ACOS(MIN(1,COS(RADIANS(90-F28))*COS(RADIANS(90-K28))+SIN(RADIANS(90-F28))*SIN(RADIANS(90-K28))*COS(RADIANS(G28-L28))))*6371,"N/A")</f>
        <v>212.19683300400132</v>
      </c>
      <c r="AK28" s="10">
        <f>IF(AND(ISNUMBER(F28),ISNUMBER(G28),ISNUMBER(K28),ISNUMBER(L28)),MOD(DEGREES(ATAN2(COS(RADIANS(K28))*SIN(RADIANS(F28))-SIN(RADIANS(K28))*COS(RADIANS(F28))*COS(RADIANS(G28-L28)),SIN(RADIANS(G28-L28))*COS(RADIANS(F28))))+360,360),"N/A")</f>
        <v>14.080816302589483</v>
      </c>
      <c r="AL28" s="10" t="str">
        <f>IF(AND(ISNUMBER(F28),ISNUMBER(G28),ISNUMBER(M28),ISNUMBER(N28)),ACOS(MIN(1,COS(RADIANS(90-F28))*COS(RADIANS(90-M28))+SIN(RADIANS(90-F28))*SIN(RADIANS(90-M28))*COS(RADIANS(G28-N28))))*6371,"N/A")</f>
        <v>N/A</v>
      </c>
      <c r="AM28" s="10" t="str">
        <f>IF(AND(ISNUMBER(F28),ISNUMBER(G28),ISNUMBER(M28),ISNUMBER(N28)),MOD(DEGREES(ATAN2(COS(RADIANS(M28))*SIN(RADIANS(F28))-SIN(RADIANS(M28))*COS(RADIANS(F28))*COS(RADIANS(G28-N28)),SIN(RADIANS(G28-N28))*COS(RADIANS(F28))))+360,360),"N/A")</f>
        <v>N/A</v>
      </c>
      <c r="AN28" s="2"/>
      <c r="AO28" s="2"/>
    </row>
    <row r="29" spans="1:41" x14ac:dyDescent="0.2">
      <c r="A29" s="4" t="s">
        <v>485</v>
      </c>
      <c r="B29" s="4" t="s">
        <v>120</v>
      </c>
      <c r="C29" s="5">
        <v>606</v>
      </c>
      <c r="D29" s="4" t="s">
        <v>70</v>
      </c>
      <c r="E29" s="4" t="s">
        <v>71</v>
      </c>
      <c r="F29" s="6">
        <v>42.676299999999998</v>
      </c>
      <c r="G29" s="6">
        <v>14.7704</v>
      </c>
      <c r="H29" s="7">
        <v>-185.5</v>
      </c>
      <c r="I29" s="4" t="s">
        <v>222</v>
      </c>
      <c r="J29" s="4" t="s">
        <v>15</v>
      </c>
      <c r="K29" s="6">
        <v>40.826999999999998</v>
      </c>
      <c r="L29" s="6">
        <v>14.138999999999999</v>
      </c>
      <c r="M29" s="5" t="s">
        <v>340</v>
      </c>
      <c r="N29" s="5" t="s">
        <v>340</v>
      </c>
      <c r="O29" s="4" t="s">
        <v>232</v>
      </c>
      <c r="P29" s="5">
        <v>43</v>
      </c>
      <c r="Q29" s="5" t="s">
        <v>492</v>
      </c>
      <c r="R29" s="4" t="s">
        <v>184</v>
      </c>
      <c r="S29" s="4" t="s">
        <v>1121</v>
      </c>
      <c r="T29" s="7">
        <v>11860</v>
      </c>
      <c r="U29" s="7">
        <v>12096</v>
      </c>
      <c r="V29" s="7">
        <v>12396</v>
      </c>
      <c r="W29" s="15" t="s">
        <v>928</v>
      </c>
      <c r="X29" s="21" t="s">
        <v>1357</v>
      </c>
      <c r="Y29" s="7" t="s">
        <v>340</v>
      </c>
      <c r="Z29" s="7" t="s">
        <v>340</v>
      </c>
      <c r="AA29" s="7" t="s">
        <v>340</v>
      </c>
      <c r="AB29" s="7" t="s">
        <v>340</v>
      </c>
      <c r="AC29" s="7">
        <v>12180</v>
      </c>
      <c r="AD29" s="7">
        <v>610</v>
      </c>
      <c r="AE29" s="7">
        <v>12104</v>
      </c>
      <c r="AF29" s="7">
        <v>141</v>
      </c>
      <c r="AG29" s="7" t="s">
        <v>340</v>
      </c>
      <c r="AH29" s="5">
        <v>1</v>
      </c>
      <c r="AI29" s="5">
        <v>1</v>
      </c>
      <c r="AJ29" s="9">
        <f>IF(AND(ISNUMBER(F29),ISNUMBER(G29),ISNUMBER(K29),ISNUMBER(L29)),ACOS(MIN(1,COS(RADIANS(90-F29))*COS(RADIANS(90-K29))+SIN(RADIANS(90-F29))*SIN(RADIANS(90-K29))*COS(RADIANS(G29-L29))))*6371,"N/A")</f>
        <v>212.19683300400132</v>
      </c>
      <c r="AK29" s="10">
        <f>IF(AND(ISNUMBER(F29),ISNUMBER(G29),ISNUMBER(K29),ISNUMBER(L29)),MOD(DEGREES(ATAN2(COS(RADIANS(K29))*SIN(RADIANS(F29))-SIN(RADIANS(K29))*COS(RADIANS(F29))*COS(RADIANS(G29-L29)),SIN(RADIANS(G29-L29))*COS(RADIANS(F29))))+360,360),"N/A")</f>
        <v>14.080816302589483</v>
      </c>
      <c r="AL29" s="10" t="str">
        <f>IF(AND(ISNUMBER(F29),ISNUMBER(G29),ISNUMBER(M29),ISNUMBER(N29)),ACOS(MIN(1,COS(RADIANS(90-F29))*COS(RADIANS(90-M29))+SIN(RADIANS(90-F29))*SIN(RADIANS(90-M29))*COS(RADIANS(G29-N29))))*6371,"N/A")</f>
        <v>N/A</v>
      </c>
      <c r="AM29" s="10" t="str">
        <f>IF(AND(ISNUMBER(F29),ISNUMBER(G29),ISNUMBER(M29),ISNUMBER(N29)),MOD(DEGREES(ATAN2(COS(RADIANS(M29))*SIN(RADIANS(F29))-SIN(RADIANS(M29))*COS(RADIANS(F29))*COS(RADIANS(G29-N29)),SIN(RADIANS(G29-N29))*COS(RADIANS(F29))))+360,360),"N/A")</f>
        <v>N/A</v>
      </c>
      <c r="AN29" s="2"/>
      <c r="AO29" s="2"/>
    </row>
    <row r="30" spans="1:41" x14ac:dyDescent="0.2">
      <c r="A30" s="4" t="s">
        <v>482</v>
      </c>
      <c r="B30" s="4" t="s">
        <v>120</v>
      </c>
      <c r="C30" s="5">
        <v>606</v>
      </c>
      <c r="D30" s="4" t="s">
        <v>70</v>
      </c>
      <c r="E30" s="4" t="s">
        <v>71</v>
      </c>
      <c r="F30" s="6">
        <v>42.676299999999998</v>
      </c>
      <c r="G30" s="6">
        <v>14.7704</v>
      </c>
      <c r="H30" s="7">
        <v>-185.5</v>
      </c>
      <c r="I30" s="4" t="s">
        <v>222</v>
      </c>
      <c r="J30" s="4" t="s">
        <v>16</v>
      </c>
      <c r="K30" s="6">
        <v>40.820999999999998</v>
      </c>
      <c r="L30" s="6">
        <v>14.426</v>
      </c>
      <c r="M30" s="5" t="s">
        <v>340</v>
      </c>
      <c r="N30" s="5" t="s">
        <v>340</v>
      </c>
      <c r="O30" s="4" t="s">
        <v>1069</v>
      </c>
      <c r="P30" s="5">
        <v>17</v>
      </c>
      <c r="Q30" s="5" t="s">
        <v>495</v>
      </c>
      <c r="R30" s="4" t="s">
        <v>184</v>
      </c>
      <c r="S30" s="4" t="s">
        <v>1121</v>
      </c>
      <c r="T30" s="12">
        <v>18978</v>
      </c>
      <c r="U30" s="12">
        <v>19162</v>
      </c>
      <c r="V30" s="12">
        <v>19352</v>
      </c>
      <c r="W30" s="21" t="s">
        <v>933</v>
      </c>
      <c r="X30" s="21" t="s">
        <v>1359</v>
      </c>
      <c r="Y30" s="7" t="s">
        <v>340</v>
      </c>
      <c r="Z30" s="7" t="s">
        <v>340</v>
      </c>
      <c r="AA30" s="7" t="s">
        <v>340</v>
      </c>
      <c r="AB30" s="7" t="s">
        <v>340</v>
      </c>
      <c r="AC30" s="7">
        <v>17560</v>
      </c>
      <c r="AD30" s="7">
        <v>880</v>
      </c>
      <c r="AE30" s="7">
        <v>19164</v>
      </c>
      <c r="AF30" s="7">
        <v>92</v>
      </c>
      <c r="AG30" s="7" t="s">
        <v>340</v>
      </c>
      <c r="AH30" s="5">
        <v>1</v>
      </c>
      <c r="AI30" s="5">
        <v>1</v>
      </c>
      <c r="AJ30" s="9">
        <f>IF(AND(ISNUMBER(F30),ISNUMBER(G30),ISNUMBER(K30),ISNUMBER(L30)),ACOS(MIN(1,COS(RADIANS(90-F30))*COS(RADIANS(90-K30))+SIN(RADIANS(90-F30))*SIN(RADIANS(90-K30))*COS(RADIANS(G30-L30))))*6371,"N/A")</f>
        <v>208.26843886490445</v>
      </c>
      <c r="AK30" s="10">
        <f>IF(AND(ISNUMBER(F30),ISNUMBER(G30),ISNUMBER(K30),ISNUMBER(L30)),MOD(DEGREES(ATAN2(COS(RADIANS(K30))*SIN(RADIANS(F30))-SIN(RADIANS(K30))*COS(RADIANS(F30))*COS(RADIANS(G30-L30)),SIN(RADIANS(G30-L30))*COS(RADIANS(F30))))+360,360),"N/A")</f>
        <v>7.7706400669772506</v>
      </c>
      <c r="AL30" s="10" t="str">
        <f>IF(AND(ISNUMBER(F30),ISNUMBER(G30),ISNUMBER(M30),ISNUMBER(N30)),ACOS(MIN(1,COS(RADIANS(90-F30))*COS(RADIANS(90-M30))+SIN(RADIANS(90-F30))*SIN(RADIANS(90-M30))*COS(RADIANS(G30-N30))))*6371,"N/A")</f>
        <v>N/A</v>
      </c>
      <c r="AM30" s="10" t="str">
        <f>IF(AND(ISNUMBER(F30),ISNUMBER(G30),ISNUMBER(M30),ISNUMBER(N30)),MOD(DEGREES(ATAN2(COS(RADIANS(M30))*SIN(RADIANS(F30))-SIN(RADIANS(M30))*COS(RADIANS(F30))*COS(RADIANS(G30-N30)),SIN(RADIANS(G30-N30))*COS(RADIANS(F30))))+360,360),"N/A")</f>
        <v>N/A</v>
      </c>
      <c r="AN30" s="2"/>
      <c r="AO30" s="2"/>
    </row>
    <row r="31" spans="1:41" x14ac:dyDescent="0.2">
      <c r="A31" s="4" t="s">
        <v>481</v>
      </c>
      <c r="B31" s="4" t="s">
        <v>120</v>
      </c>
      <c r="C31" s="5">
        <v>606</v>
      </c>
      <c r="D31" s="4" t="s">
        <v>70</v>
      </c>
      <c r="E31" s="4" t="s">
        <v>71</v>
      </c>
      <c r="F31" s="6">
        <v>42.676299999999998</v>
      </c>
      <c r="G31" s="6">
        <v>14.7704</v>
      </c>
      <c r="H31" s="7">
        <v>-185.5</v>
      </c>
      <c r="I31" s="4" t="s">
        <v>222</v>
      </c>
      <c r="J31" s="4" t="s">
        <v>16</v>
      </c>
      <c r="K31" s="6">
        <v>40.820999999999998</v>
      </c>
      <c r="L31" s="6">
        <v>14.426</v>
      </c>
      <c r="M31" s="5" t="s">
        <v>340</v>
      </c>
      <c r="N31" s="5" t="s">
        <v>340</v>
      </c>
      <c r="O31" s="4" t="s">
        <v>488</v>
      </c>
      <c r="P31" s="5">
        <v>10</v>
      </c>
      <c r="Q31" s="5" t="s">
        <v>496</v>
      </c>
      <c r="R31" s="4" t="s">
        <v>184</v>
      </c>
      <c r="S31" s="4" t="s">
        <v>1121</v>
      </c>
      <c r="T31" s="7">
        <v>21147</v>
      </c>
      <c r="U31" s="7">
        <v>21840</v>
      </c>
      <c r="V31" s="7">
        <v>22339</v>
      </c>
      <c r="W31" s="15" t="s">
        <v>1329</v>
      </c>
      <c r="X31" s="15" t="s">
        <v>1050</v>
      </c>
      <c r="Y31" s="7">
        <v>18220</v>
      </c>
      <c r="Z31" s="7">
        <v>140</v>
      </c>
      <c r="AA31" s="7" t="s">
        <v>340</v>
      </c>
      <c r="AB31" s="7" t="s">
        <v>340</v>
      </c>
      <c r="AC31" s="7">
        <v>19280</v>
      </c>
      <c r="AD31" s="7">
        <v>960</v>
      </c>
      <c r="AE31" s="7">
        <v>21840</v>
      </c>
      <c r="AF31" s="7" t="s">
        <v>938</v>
      </c>
      <c r="AG31" s="7" t="s">
        <v>340</v>
      </c>
      <c r="AH31" s="5">
        <v>1</v>
      </c>
      <c r="AI31" s="5">
        <v>1</v>
      </c>
      <c r="AJ31" s="9">
        <f>IF(AND(ISNUMBER(F31),ISNUMBER(G31),ISNUMBER(K31),ISNUMBER(L31)),ACOS(MIN(1,COS(RADIANS(90-F31))*COS(RADIANS(90-K31))+SIN(RADIANS(90-F31))*SIN(RADIANS(90-K31))*COS(RADIANS(G31-L31))))*6371,"N/A")</f>
        <v>208.26843886490445</v>
      </c>
      <c r="AK31" s="10">
        <f>IF(AND(ISNUMBER(F31),ISNUMBER(G31),ISNUMBER(K31),ISNUMBER(L31)),MOD(DEGREES(ATAN2(COS(RADIANS(K31))*SIN(RADIANS(F31))-SIN(RADIANS(K31))*COS(RADIANS(F31))*COS(RADIANS(G31-L31)),SIN(RADIANS(G31-L31))*COS(RADIANS(F31))))+360,360),"N/A")</f>
        <v>7.7706400669772506</v>
      </c>
      <c r="AL31" s="10" t="str">
        <f>IF(AND(ISNUMBER(F31),ISNUMBER(G31),ISNUMBER(M31),ISNUMBER(N31)),ACOS(MIN(1,COS(RADIANS(90-F31))*COS(RADIANS(90-M31))+SIN(RADIANS(90-F31))*SIN(RADIANS(90-M31))*COS(RADIANS(G31-N31))))*6371,"N/A")</f>
        <v>N/A</v>
      </c>
      <c r="AM31" s="10" t="str">
        <f>IF(AND(ISNUMBER(F31),ISNUMBER(G31),ISNUMBER(M31),ISNUMBER(N31)),MOD(DEGREES(ATAN2(COS(RADIANS(M31))*SIN(RADIANS(F31))-SIN(RADIANS(M31))*COS(RADIANS(F31))*COS(RADIANS(G31-N31)),SIN(RADIANS(G31-N31))*COS(RADIANS(F31))))+360,360),"N/A")</f>
        <v>N/A</v>
      </c>
      <c r="AN31" s="2"/>
      <c r="AO31" s="2"/>
    </row>
    <row r="32" spans="1:41" x14ac:dyDescent="0.2">
      <c r="A32" s="4" t="s">
        <v>1161</v>
      </c>
      <c r="B32" s="4" t="s">
        <v>581</v>
      </c>
      <c r="C32" s="5" t="s">
        <v>340</v>
      </c>
      <c r="D32" s="4" t="s">
        <v>29</v>
      </c>
      <c r="E32" s="4" t="s">
        <v>582</v>
      </c>
      <c r="F32" s="6">
        <v>35.119900000000001</v>
      </c>
      <c r="G32" s="6">
        <v>26.277899999999999</v>
      </c>
      <c r="H32" s="7">
        <v>105</v>
      </c>
      <c r="I32" s="4" t="s">
        <v>580</v>
      </c>
      <c r="J32" s="4" t="s">
        <v>241</v>
      </c>
      <c r="K32" s="6">
        <v>36.404000000000003</v>
      </c>
      <c r="L32" s="6">
        <v>25.396000000000001</v>
      </c>
      <c r="M32" s="5" t="s">
        <v>340</v>
      </c>
      <c r="N32" s="5" t="s">
        <v>340</v>
      </c>
      <c r="O32" s="4" t="s">
        <v>387</v>
      </c>
      <c r="P32" s="5">
        <v>7</v>
      </c>
      <c r="Q32" s="5">
        <v>9999</v>
      </c>
      <c r="R32" s="4" t="s">
        <v>41</v>
      </c>
      <c r="S32" s="4" t="s">
        <v>583</v>
      </c>
      <c r="T32" s="7">
        <v>3510</v>
      </c>
      <c r="U32" s="7">
        <v>3535</v>
      </c>
      <c r="V32" s="7">
        <v>3559</v>
      </c>
      <c r="W32" s="21" t="s">
        <v>935</v>
      </c>
      <c r="X32" s="21" t="s">
        <v>852</v>
      </c>
      <c r="Y32" s="7" t="s">
        <v>340</v>
      </c>
      <c r="Z32" s="7" t="s">
        <v>340</v>
      </c>
      <c r="AA32" s="7" t="s">
        <v>340</v>
      </c>
      <c r="AB32" s="7" t="s">
        <v>340</v>
      </c>
      <c r="AC32" s="7" t="s">
        <v>340</v>
      </c>
      <c r="AD32" s="7" t="s">
        <v>340</v>
      </c>
      <c r="AE32" s="7">
        <v>3535</v>
      </c>
      <c r="AF32" s="7">
        <v>25</v>
      </c>
      <c r="AG32" s="7" t="s">
        <v>340</v>
      </c>
      <c r="AH32" s="5">
        <v>1</v>
      </c>
      <c r="AI32" s="5">
        <v>1</v>
      </c>
      <c r="AJ32" s="9">
        <f>IF(AND(ISNUMBER(F32),ISNUMBER(G32),ISNUMBER(K32),ISNUMBER(L32)),ACOS(MIN(1,COS(RADIANS(90-F32))*COS(RADIANS(90-K32))+SIN(RADIANS(90-F32))*SIN(RADIANS(90-K32))*COS(RADIANS(G32-L32))))*6371,"N/A")</f>
        <v>163.45903822950973</v>
      </c>
      <c r="AK32" s="10">
        <f>IF(AND(ISNUMBER(F32),ISNUMBER(G32),ISNUMBER(K32),ISNUMBER(L32)),MOD(DEGREES(ATAN2(COS(RADIANS(K32))*SIN(RADIANS(F32))-SIN(RADIANS(K32))*COS(RADIANS(F32))*COS(RADIANS(G32-L32)),SIN(RADIANS(G32-L32))*COS(RADIANS(F32))))+360,360),"N/A")</f>
        <v>150.61068325573024</v>
      </c>
      <c r="AL32" s="10" t="str">
        <f>IF(AND(ISNUMBER(F32),ISNUMBER(G32),ISNUMBER(M32),ISNUMBER(N32)),ACOS(MIN(1,COS(RADIANS(90-F32))*COS(RADIANS(90-M32))+SIN(RADIANS(90-F32))*SIN(RADIANS(90-M32))*COS(RADIANS(G32-N32))))*6371,"N/A")</f>
        <v>N/A</v>
      </c>
      <c r="AM32" s="10" t="str">
        <f>IF(AND(ISNUMBER(F32),ISNUMBER(G32),ISNUMBER(M32),ISNUMBER(N32)),MOD(DEGREES(ATAN2(COS(RADIANS(M32))*SIN(RADIANS(F32))-SIN(RADIANS(M32))*COS(RADIANS(F32))*COS(RADIANS(G32-N32)),SIN(RADIANS(G32-N32))*COS(RADIANS(F32))))+360,360),"N/A")</f>
        <v>N/A</v>
      </c>
      <c r="AN32" s="2"/>
      <c r="AO32" s="2"/>
    </row>
    <row r="33" spans="1:41" x14ac:dyDescent="0.2">
      <c r="A33" s="4" t="s">
        <v>589</v>
      </c>
      <c r="B33" s="4" t="s">
        <v>587</v>
      </c>
      <c r="C33" s="5" t="s">
        <v>340</v>
      </c>
      <c r="D33" s="4" t="s">
        <v>70</v>
      </c>
      <c r="E33" s="4" t="s">
        <v>585</v>
      </c>
      <c r="F33" s="6">
        <v>40.398755999999999</v>
      </c>
      <c r="G33" s="6">
        <v>28.967175999999998</v>
      </c>
      <c r="H33" s="7" t="s">
        <v>340</v>
      </c>
      <c r="I33" s="4" t="s">
        <v>601</v>
      </c>
      <c r="J33" s="4" t="s">
        <v>16</v>
      </c>
      <c r="K33" s="6">
        <v>40.820999999999998</v>
      </c>
      <c r="L33" s="6">
        <v>14.426</v>
      </c>
      <c r="M33" s="5" t="s">
        <v>340</v>
      </c>
      <c r="N33" s="5" t="s">
        <v>340</v>
      </c>
      <c r="O33" s="4" t="s">
        <v>38</v>
      </c>
      <c r="P33" s="5">
        <v>16</v>
      </c>
      <c r="Q33" s="5" t="s">
        <v>340</v>
      </c>
      <c r="R33" s="4" t="s">
        <v>184</v>
      </c>
      <c r="S33" s="4" t="s">
        <v>1121</v>
      </c>
      <c r="T33" s="7" t="s">
        <v>920</v>
      </c>
      <c r="U33" s="7">
        <v>3839</v>
      </c>
      <c r="V33" s="7" t="s">
        <v>921</v>
      </c>
      <c r="W33" s="15" t="s">
        <v>922</v>
      </c>
      <c r="X33" s="21" t="s">
        <v>919</v>
      </c>
      <c r="Y33" s="7" t="s">
        <v>340</v>
      </c>
      <c r="Z33" s="7" t="s">
        <v>340</v>
      </c>
      <c r="AA33" s="7" t="s">
        <v>340</v>
      </c>
      <c r="AB33" s="7" t="s">
        <v>340</v>
      </c>
      <c r="AC33" s="7">
        <v>4310</v>
      </c>
      <c r="AD33" s="7">
        <v>220</v>
      </c>
      <c r="AE33" s="7">
        <v>3839</v>
      </c>
      <c r="AF33" s="7">
        <v>21</v>
      </c>
      <c r="AG33" s="7" t="s">
        <v>340</v>
      </c>
      <c r="AH33" s="5">
        <v>1</v>
      </c>
      <c r="AI33" s="5">
        <v>1</v>
      </c>
      <c r="AJ33" s="9">
        <f>IF(AND(ISNUMBER(F33),ISNUMBER(G33),ISNUMBER(K33),ISNUMBER(L33)),ACOS(MIN(1,COS(RADIANS(90-F33))*COS(RADIANS(90-K33))+SIN(RADIANS(90-F33))*SIN(RADIANS(90-K33))*COS(RADIANS(G33-L33))))*6371,"N/A")</f>
        <v>1226.9774518838935</v>
      </c>
      <c r="AK33" s="10">
        <f>IF(AND(ISNUMBER(F33),ISNUMBER(G33),ISNUMBER(K33),ISNUMBER(L33)),MOD(DEGREES(ATAN2(COS(RADIANS(K33))*SIN(RADIANS(F33))-SIN(RADIANS(K33))*COS(RADIANS(F33))*COS(RADIANS(G33-L33)),SIN(RADIANS(G33-L33))*COS(RADIANS(F33))))+360,360),"N/A")</f>
        <v>87.431561802242868</v>
      </c>
      <c r="AL33" s="10" t="str">
        <f>IF(AND(ISNUMBER(F33),ISNUMBER(G33),ISNUMBER(M33),ISNUMBER(N33)),ACOS(MIN(1,COS(RADIANS(90-F33))*COS(RADIANS(90-M33))+SIN(RADIANS(90-F33))*SIN(RADIANS(90-M33))*COS(RADIANS(G33-N33))))*6371,"N/A")</f>
        <v>N/A</v>
      </c>
      <c r="AM33" s="10" t="str">
        <f>IF(AND(ISNUMBER(F33),ISNUMBER(G33),ISNUMBER(M33),ISNUMBER(N33)),MOD(DEGREES(ATAN2(COS(RADIANS(M33))*SIN(RADIANS(F33))-SIN(RADIANS(M33))*COS(RADIANS(F33))*COS(RADIANS(G33-N33)),SIN(RADIANS(G33-N33))*COS(RADIANS(F33))))+360,360),"N/A")</f>
        <v>N/A</v>
      </c>
      <c r="AN33" s="2"/>
      <c r="AO33" s="2"/>
    </row>
    <row r="34" spans="1:41" x14ac:dyDescent="0.2">
      <c r="A34" s="4" t="s">
        <v>590</v>
      </c>
      <c r="B34" s="4" t="s">
        <v>588</v>
      </c>
      <c r="C34" s="5" t="s">
        <v>340</v>
      </c>
      <c r="D34" s="4" t="s">
        <v>70</v>
      </c>
      <c r="E34" s="4" t="s">
        <v>585</v>
      </c>
      <c r="F34" s="6">
        <v>40.393282999999997</v>
      </c>
      <c r="G34" s="6">
        <v>28.9587</v>
      </c>
      <c r="H34" s="7" t="s">
        <v>340</v>
      </c>
      <c r="I34" s="4" t="s">
        <v>601</v>
      </c>
      <c r="J34" s="4" t="s">
        <v>16</v>
      </c>
      <c r="K34" s="6">
        <v>40.820999999999998</v>
      </c>
      <c r="L34" s="6">
        <v>14.426</v>
      </c>
      <c r="M34" s="5" t="s">
        <v>340</v>
      </c>
      <c r="N34" s="5" t="s">
        <v>340</v>
      </c>
      <c r="O34" s="4" t="s">
        <v>38</v>
      </c>
      <c r="P34" s="5">
        <v>15</v>
      </c>
      <c r="Q34" s="5" t="s">
        <v>340</v>
      </c>
      <c r="R34" s="4" t="s">
        <v>184</v>
      </c>
      <c r="S34" s="4" t="s">
        <v>1121</v>
      </c>
      <c r="T34" s="7" t="s">
        <v>920</v>
      </c>
      <c r="U34" s="7">
        <v>3839</v>
      </c>
      <c r="V34" s="7" t="s">
        <v>921</v>
      </c>
      <c r="W34" s="15" t="s">
        <v>922</v>
      </c>
      <c r="X34" s="21" t="s">
        <v>919</v>
      </c>
      <c r="Y34" s="7" t="s">
        <v>340</v>
      </c>
      <c r="Z34" s="7" t="s">
        <v>340</v>
      </c>
      <c r="AA34" s="7" t="s">
        <v>340</v>
      </c>
      <c r="AB34" s="7" t="s">
        <v>340</v>
      </c>
      <c r="AC34" s="7">
        <v>4310</v>
      </c>
      <c r="AD34" s="7">
        <v>220</v>
      </c>
      <c r="AE34" s="7">
        <v>3839</v>
      </c>
      <c r="AF34" s="7">
        <v>21</v>
      </c>
      <c r="AG34" s="7" t="s">
        <v>340</v>
      </c>
      <c r="AH34" s="5">
        <v>1</v>
      </c>
      <c r="AI34" s="5">
        <v>1</v>
      </c>
      <c r="AJ34" s="9">
        <f>IF(AND(ISNUMBER(F34),ISNUMBER(G34),ISNUMBER(K34),ISNUMBER(L34)),ACOS(MIN(1,COS(RADIANS(90-F34))*COS(RADIANS(90-K34))+SIN(RADIANS(90-F34))*SIN(RADIANS(90-K34))*COS(RADIANS(G34-L34))))*6371,"N/A")</f>
        <v>1226.3384500035461</v>
      </c>
      <c r="AK34" s="10">
        <f>IF(AND(ISNUMBER(F34),ISNUMBER(G34),ISNUMBER(K34),ISNUMBER(L34)),MOD(DEGREES(ATAN2(COS(RADIANS(K34))*SIN(RADIANS(F34))-SIN(RADIANS(K34))*COS(RADIANS(F34))*COS(RADIANS(G34-L34)),SIN(RADIANS(G34-L34))*COS(RADIANS(F34))))+360,360),"N/A")</f>
        <v>87.464029929607648</v>
      </c>
      <c r="AL34" s="10" t="str">
        <f>IF(AND(ISNUMBER(F34),ISNUMBER(G34),ISNUMBER(M34),ISNUMBER(N34)),ACOS(MIN(1,COS(RADIANS(90-F34))*COS(RADIANS(90-M34))+SIN(RADIANS(90-F34))*SIN(RADIANS(90-M34))*COS(RADIANS(G34-N34))))*6371,"N/A")</f>
        <v>N/A</v>
      </c>
      <c r="AM34" s="10" t="str">
        <f>IF(AND(ISNUMBER(F34),ISNUMBER(G34),ISNUMBER(M34),ISNUMBER(N34)),MOD(DEGREES(ATAN2(COS(RADIANS(M34))*SIN(RADIANS(F34))-SIN(RADIANS(M34))*COS(RADIANS(F34))*COS(RADIANS(G34-N34)),SIN(RADIANS(G34-N34))*COS(RADIANS(F34))))+360,360),"N/A")</f>
        <v>N/A</v>
      </c>
      <c r="AN34" s="2"/>
      <c r="AO34" s="2"/>
    </row>
    <row r="35" spans="1:41" x14ac:dyDescent="0.2">
      <c r="A35" s="4" t="s">
        <v>591</v>
      </c>
      <c r="B35" s="4" t="s">
        <v>584</v>
      </c>
      <c r="C35" s="5" t="s">
        <v>340</v>
      </c>
      <c r="D35" s="4" t="s">
        <v>70</v>
      </c>
      <c r="E35" s="4" t="s">
        <v>586</v>
      </c>
      <c r="F35" s="6">
        <v>40.796832999999999</v>
      </c>
      <c r="G35" s="6">
        <v>27.725166999999999</v>
      </c>
      <c r="H35" s="7" t="s">
        <v>340</v>
      </c>
      <c r="I35" s="4" t="s">
        <v>601</v>
      </c>
      <c r="J35" s="4" t="s">
        <v>16</v>
      </c>
      <c r="K35" s="6">
        <v>40.820999999999998</v>
      </c>
      <c r="L35" s="6">
        <v>14.426</v>
      </c>
      <c r="M35" s="5" t="s">
        <v>340</v>
      </c>
      <c r="N35" s="5" t="s">
        <v>340</v>
      </c>
      <c r="O35" s="4" t="s">
        <v>38</v>
      </c>
      <c r="P35" s="5">
        <v>25</v>
      </c>
      <c r="Q35" s="5" t="s">
        <v>594</v>
      </c>
      <c r="R35" s="4" t="s">
        <v>184</v>
      </c>
      <c r="S35" s="4" t="s">
        <v>1121</v>
      </c>
      <c r="T35" s="7" t="s">
        <v>920</v>
      </c>
      <c r="U35" s="7">
        <v>3839</v>
      </c>
      <c r="V35" s="7" t="s">
        <v>921</v>
      </c>
      <c r="W35" s="15" t="s">
        <v>922</v>
      </c>
      <c r="X35" s="21" t="s">
        <v>919</v>
      </c>
      <c r="Y35" s="7" t="s">
        <v>340</v>
      </c>
      <c r="Z35" s="7" t="s">
        <v>340</v>
      </c>
      <c r="AA35" s="7" t="s">
        <v>340</v>
      </c>
      <c r="AB35" s="7" t="s">
        <v>340</v>
      </c>
      <c r="AC35" s="7">
        <v>4310</v>
      </c>
      <c r="AD35" s="7">
        <v>220</v>
      </c>
      <c r="AE35" s="7">
        <v>3839</v>
      </c>
      <c r="AF35" s="7">
        <v>21</v>
      </c>
      <c r="AG35" s="7" t="s">
        <v>340</v>
      </c>
      <c r="AH35" s="5">
        <v>1</v>
      </c>
      <c r="AI35" s="5">
        <v>1</v>
      </c>
      <c r="AJ35" s="9">
        <f>IF(AND(ISNUMBER(F35),ISNUMBER(G35),ISNUMBER(K35),ISNUMBER(L35)),ACOS(MIN(1,COS(RADIANS(90-F35))*COS(RADIANS(90-K35))+SIN(RADIANS(90-F35))*SIN(RADIANS(90-K35))*COS(RADIANS(G35-L35))))*6371,"N/A")</f>
        <v>1118.2208215760807</v>
      </c>
      <c r="AK35" s="10">
        <f>IF(AND(ISNUMBER(F35),ISNUMBER(G35),ISNUMBER(K35),ISNUMBER(L35)),MOD(DEGREES(ATAN2(COS(RADIANS(K35))*SIN(RADIANS(F35))-SIN(RADIANS(K35))*COS(RADIANS(F35))*COS(RADIANS(G35-L35)),SIN(RADIANS(G35-L35))*COS(RADIANS(F35))))+360,360),"N/A")</f>
        <v>85.779981979890408</v>
      </c>
      <c r="AL35" s="10" t="str">
        <f>IF(AND(ISNUMBER(F35),ISNUMBER(G35),ISNUMBER(M35),ISNUMBER(N35)),ACOS(MIN(1,COS(RADIANS(90-F35))*COS(RADIANS(90-M35))+SIN(RADIANS(90-F35))*SIN(RADIANS(90-M35))*COS(RADIANS(G35-N35))))*6371,"N/A")</f>
        <v>N/A</v>
      </c>
      <c r="AM35" s="10" t="str">
        <f>IF(AND(ISNUMBER(F35),ISNUMBER(G35),ISNUMBER(M35),ISNUMBER(N35)),MOD(DEGREES(ATAN2(COS(RADIANS(M35))*SIN(RADIANS(F35))-SIN(RADIANS(M35))*COS(RADIANS(F35))*COS(RADIANS(G35-N35)),SIN(RADIANS(G35-N35))*COS(RADIANS(F35))))+360,360),"N/A")</f>
        <v>N/A</v>
      </c>
      <c r="AN35" s="2"/>
      <c r="AO35" s="2"/>
    </row>
    <row r="36" spans="1:41" x14ac:dyDescent="0.2">
      <c r="A36" s="4" t="s">
        <v>592</v>
      </c>
      <c r="B36" s="4" t="s">
        <v>584</v>
      </c>
      <c r="C36" s="5" t="s">
        <v>340</v>
      </c>
      <c r="D36" s="4" t="s">
        <v>70</v>
      </c>
      <c r="E36" s="4" t="s">
        <v>586</v>
      </c>
      <c r="F36" s="6">
        <v>40.796832999999999</v>
      </c>
      <c r="G36" s="6">
        <v>27.725166999999999</v>
      </c>
      <c r="H36" s="7" t="s">
        <v>340</v>
      </c>
      <c r="I36" s="4" t="s">
        <v>601</v>
      </c>
      <c r="J36" s="4" t="s">
        <v>241</v>
      </c>
      <c r="K36" s="6">
        <v>36.404000000000003</v>
      </c>
      <c r="L36" s="6">
        <v>25.396000000000001</v>
      </c>
      <c r="M36" s="5" t="s">
        <v>340</v>
      </c>
      <c r="N36" s="5" t="s">
        <v>340</v>
      </c>
      <c r="O36" s="4" t="s">
        <v>246</v>
      </c>
      <c r="P36" s="5">
        <v>20</v>
      </c>
      <c r="Q36" s="5" t="s">
        <v>340</v>
      </c>
      <c r="R36" s="4" t="s">
        <v>41</v>
      </c>
      <c r="S36" s="4" t="s">
        <v>1121</v>
      </c>
      <c r="T36" s="7">
        <v>21353</v>
      </c>
      <c r="U36" s="7">
        <v>22170</v>
      </c>
      <c r="V36" s="7">
        <v>22575</v>
      </c>
      <c r="W36" s="15" t="s">
        <v>933</v>
      </c>
      <c r="X36" s="15" t="s">
        <v>1358</v>
      </c>
      <c r="Y36" s="7" t="s">
        <v>340</v>
      </c>
      <c r="Z36" s="7" t="s">
        <v>340</v>
      </c>
      <c r="AA36" s="7" t="s">
        <v>340</v>
      </c>
      <c r="AB36" s="7" t="s">
        <v>340</v>
      </c>
      <c r="AC36" s="7" t="s">
        <v>340</v>
      </c>
      <c r="AD36" s="7" t="s">
        <v>340</v>
      </c>
      <c r="AE36" s="7">
        <v>22101</v>
      </c>
      <c r="AF36" s="7">
        <v>308</v>
      </c>
      <c r="AG36" s="7" t="s">
        <v>340</v>
      </c>
      <c r="AH36" s="5">
        <v>1</v>
      </c>
      <c r="AI36" s="5">
        <v>1</v>
      </c>
      <c r="AJ36" s="9">
        <f>IF(AND(ISNUMBER(F36),ISNUMBER(G36),ISNUMBER(K36),ISNUMBER(L36)),ACOS(MIN(1,COS(RADIANS(90-F36))*COS(RADIANS(90-K36))+SIN(RADIANS(90-F36))*SIN(RADIANS(90-K36))*COS(RADIANS(G36-L36))))*6371,"N/A")</f>
        <v>528.67896127620929</v>
      </c>
      <c r="AK36" s="10">
        <f>IF(AND(ISNUMBER(F36),ISNUMBER(G36),ISNUMBER(K36),ISNUMBER(L36)),MOD(DEGREES(ATAN2(COS(RADIANS(K36))*SIN(RADIANS(F36))-SIN(RADIANS(K36))*COS(RADIANS(F36))*COS(RADIANS(G36-L36)),SIN(RADIANS(G36-L36))*COS(RADIANS(F36))))+360,360),"N/A")</f>
        <v>21.788498350660291</v>
      </c>
      <c r="AL36" s="10" t="str">
        <f>IF(AND(ISNUMBER(F36),ISNUMBER(G36),ISNUMBER(M36),ISNUMBER(N36)),ACOS(MIN(1,COS(RADIANS(90-F36))*COS(RADIANS(90-M36))+SIN(RADIANS(90-F36))*SIN(RADIANS(90-M36))*COS(RADIANS(G36-N36))))*6371,"N/A")</f>
        <v>N/A</v>
      </c>
      <c r="AM36" s="10" t="str">
        <f>IF(AND(ISNUMBER(F36),ISNUMBER(G36),ISNUMBER(M36),ISNUMBER(N36)),MOD(DEGREES(ATAN2(COS(RADIANS(M36))*SIN(RADIANS(F36))-SIN(RADIANS(M36))*COS(RADIANS(F36))*COS(RADIANS(G36-N36)),SIN(RADIANS(G36-N36))*COS(RADIANS(F36))))+360,360),"N/A")</f>
        <v>N/A</v>
      </c>
      <c r="AN36" s="2"/>
      <c r="AO36" s="2"/>
    </row>
    <row r="37" spans="1:41" x14ac:dyDescent="0.2">
      <c r="A37" s="4" t="s">
        <v>511</v>
      </c>
      <c r="B37" s="4" t="s">
        <v>123</v>
      </c>
      <c r="C37" s="5">
        <v>608</v>
      </c>
      <c r="D37" s="4" t="s">
        <v>70</v>
      </c>
      <c r="E37" s="4" t="s">
        <v>71</v>
      </c>
      <c r="F37" s="6">
        <v>42.4435</v>
      </c>
      <c r="G37" s="6">
        <v>15.1166</v>
      </c>
      <c r="H37" s="7">
        <v>-152</v>
      </c>
      <c r="I37" s="4" t="s">
        <v>224</v>
      </c>
      <c r="J37" s="4" t="s">
        <v>15</v>
      </c>
      <c r="K37" s="6">
        <v>40.826999999999998</v>
      </c>
      <c r="L37" s="6">
        <v>14.138999999999999</v>
      </c>
      <c r="M37" s="5" t="s">
        <v>340</v>
      </c>
      <c r="N37" s="5" t="s">
        <v>340</v>
      </c>
      <c r="O37" s="4" t="s">
        <v>199</v>
      </c>
      <c r="P37" s="5" t="s">
        <v>340</v>
      </c>
      <c r="Q37" s="5">
        <v>9999</v>
      </c>
      <c r="R37" s="4" t="s">
        <v>698</v>
      </c>
      <c r="S37" s="4" t="s">
        <v>1121</v>
      </c>
      <c r="T37" s="7">
        <v>4483</v>
      </c>
      <c r="U37" s="7">
        <v>4540</v>
      </c>
      <c r="V37" s="7">
        <v>4627</v>
      </c>
      <c r="W37" s="15" t="s">
        <v>928</v>
      </c>
      <c r="X37" s="21" t="s">
        <v>1357</v>
      </c>
      <c r="Y37" s="7" t="s">
        <v>340</v>
      </c>
      <c r="Z37" s="7" t="s">
        <v>340</v>
      </c>
      <c r="AA37" s="7" t="s">
        <v>340</v>
      </c>
      <c r="AB37" s="7" t="s">
        <v>340</v>
      </c>
      <c r="AC37" s="7">
        <v>5390</v>
      </c>
      <c r="AD37" s="7">
        <v>270</v>
      </c>
      <c r="AE37" s="7">
        <v>4546</v>
      </c>
      <c r="AF37" s="7">
        <v>36</v>
      </c>
      <c r="AG37" s="7" t="s">
        <v>340</v>
      </c>
      <c r="AH37" s="5">
        <v>1</v>
      </c>
      <c r="AI37" s="5">
        <v>1</v>
      </c>
      <c r="AJ37" s="9">
        <f>IF(AND(ISNUMBER(F37),ISNUMBER(G37),ISNUMBER(K37),ISNUMBER(L37)),ACOS(MIN(1,COS(RADIANS(90-F37))*COS(RADIANS(90-K37))+SIN(RADIANS(90-F37))*SIN(RADIANS(90-K37))*COS(RADIANS(G37-L37))))*6371,"N/A")</f>
        <v>197.25094941971224</v>
      </c>
      <c r="AK37" s="10">
        <f>IF(AND(ISNUMBER(F37),ISNUMBER(G37),ISNUMBER(K37),ISNUMBER(L37)),MOD(DEGREES(ATAN2(COS(RADIANS(K37))*SIN(RADIANS(F37))-SIN(RADIANS(K37))*COS(RADIANS(F37))*COS(RADIANS(G37-L37)),SIN(RADIANS(G37-L37))*COS(RADIANS(F37))))+360,360),"N/A")</f>
        <v>23.99911912511476</v>
      </c>
      <c r="AL37" s="10" t="str">
        <f>IF(AND(ISNUMBER(F37),ISNUMBER(G37),ISNUMBER(M37),ISNUMBER(N37)),ACOS(MIN(1,COS(RADIANS(90-F37))*COS(RADIANS(90-M37))+SIN(RADIANS(90-F37))*SIN(RADIANS(90-M37))*COS(RADIANS(G37-N37))))*6371,"N/A")</f>
        <v>N/A</v>
      </c>
      <c r="AM37" s="10" t="str">
        <f>IF(AND(ISNUMBER(F37),ISNUMBER(G37),ISNUMBER(M37),ISNUMBER(N37)),MOD(DEGREES(ATAN2(COS(RADIANS(M37))*SIN(RADIANS(F37))-SIN(RADIANS(M37))*COS(RADIANS(F37))*COS(RADIANS(G37-N37)),SIN(RADIANS(G37-N37))*COS(RADIANS(F37))))+360,360),"N/A")</f>
        <v>N/A</v>
      </c>
      <c r="AN37" s="2"/>
      <c r="AO37" s="2"/>
    </row>
    <row r="38" spans="1:41" x14ac:dyDescent="0.2">
      <c r="A38" s="4" t="s">
        <v>510</v>
      </c>
      <c r="B38" s="4" t="s">
        <v>123</v>
      </c>
      <c r="C38" s="5">
        <v>608</v>
      </c>
      <c r="D38" s="4" t="s">
        <v>70</v>
      </c>
      <c r="E38" s="4" t="s">
        <v>71</v>
      </c>
      <c r="F38" s="6">
        <v>42.4435</v>
      </c>
      <c r="G38" s="6">
        <v>15.1166</v>
      </c>
      <c r="H38" s="7">
        <v>-152</v>
      </c>
      <c r="I38" s="4" t="s">
        <v>224</v>
      </c>
      <c r="J38" s="4" t="s">
        <v>15</v>
      </c>
      <c r="K38" s="6">
        <v>40.826999999999998</v>
      </c>
      <c r="L38" s="6">
        <v>14.138999999999999</v>
      </c>
      <c r="M38" s="5" t="s">
        <v>340</v>
      </c>
      <c r="N38" s="5" t="s">
        <v>340</v>
      </c>
      <c r="O38" s="4" t="s">
        <v>20</v>
      </c>
      <c r="P38" s="5" t="s">
        <v>340</v>
      </c>
      <c r="Q38" s="5">
        <v>9999</v>
      </c>
      <c r="R38" s="4" t="s">
        <v>698</v>
      </c>
      <c r="S38" s="4" t="s">
        <v>1121</v>
      </c>
      <c r="T38" s="7">
        <v>13761</v>
      </c>
      <c r="U38" s="7">
        <v>14029</v>
      </c>
      <c r="V38" s="7">
        <v>14356</v>
      </c>
      <c r="W38" s="15" t="s">
        <v>933</v>
      </c>
      <c r="X38" s="15" t="s">
        <v>1358</v>
      </c>
      <c r="Y38" s="7" t="s">
        <v>340</v>
      </c>
      <c r="Z38" s="7" t="s">
        <v>340</v>
      </c>
      <c r="AA38" s="7" t="s">
        <v>340</v>
      </c>
      <c r="AB38" s="7" t="s">
        <v>340</v>
      </c>
      <c r="AC38" s="7">
        <v>14120</v>
      </c>
      <c r="AD38" s="7">
        <v>710</v>
      </c>
      <c r="AE38" s="7">
        <v>14037</v>
      </c>
      <c r="AF38" s="7">
        <v>156</v>
      </c>
      <c r="AG38" s="7" t="s">
        <v>340</v>
      </c>
      <c r="AH38" s="5">
        <v>1</v>
      </c>
      <c r="AI38" s="5">
        <v>1</v>
      </c>
      <c r="AJ38" s="9">
        <f>IF(AND(ISNUMBER(F38),ISNUMBER(G38),ISNUMBER(K38),ISNUMBER(L38)),ACOS(MIN(1,COS(RADIANS(90-F38))*COS(RADIANS(90-K38))+SIN(RADIANS(90-F38))*SIN(RADIANS(90-K38))*COS(RADIANS(G38-L38))))*6371,"N/A")</f>
        <v>197.25094941971224</v>
      </c>
      <c r="AK38" s="10">
        <f>IF(AND(ISNUMBER(F38),ISNUMBER(G38),ISNUMBER(K38),ISNUMBER(L38)),MOD(DEGREES(ATAN2(COS(RADIANS(K38))*SIN(RADIANS(F38))-SIN(RADIANS(K38))*COS(RADIANS(F38))*COS(RADIANS(G38-L38)),SIN(RADIANS(G38-L38))*COS(RADIANS(F38))))+360,360),"N/A")</f>
        <v>23.99911912511476</v>
      </c>
      <c r="AL38" s="10" t="str">
        <f>IF(AND(ISNUMBER(F38),ISNUMBER(G38),ISNUMBER(M38),ISNUMBER(N38)),ACOS(MIN(1,COS(RADIANS(90-F38))*COS(RADIANS(90-M38))+SIN(RADIANS(90-F38))*SIN(RADIANS(90-M38))*COS(RADIANS(G38-N38))))*6371,"N/A")</f>
        <v>N/A</v>
      </c>
      <c r="AM38" s="10" t="str">
        <f>IF(AND(ISNUMBER(F38),ISNUMBER(G38),ISNUMBER(M38),ISNUMBER(N38)),MOD(DEGREES(ATAN2(COS(RADIANS(M38))*SIN(RADIANS(F38))-SIN(RADIANS(M38))*COS(RADIANS(F38))*COS(RADIANS(G38-N38)),SIN(RADIANS(G38-N38))*COS(RADIANS(F38))))+360,360),"N/A")</f>
        <v>N/A</v>
      </c>
      <c r="AN38" s="2"/>
      <c r="AO38" s="2"/>
    </row>
    <row r="39" spans="1:41" x14ac:dyDescent="0.2">
      <c r="A39" s="4" t="s">
        <v>363</v>
      </c>
      <c r="B39" s="4" t="s">
        <v>85</v>
      </c>
      <c r="C39" s="5">
        <v>588</v>
      </c>
      <c r="D39" s="4" t="s">
        <v>70</v>
      </c>
      <c r="E39" s="4" t="s">
        <v>71</v>
      </c>
      <c r="F39" s="6">
        <v>42.886800000000001</v>
      </c>
      <c r="G39" s="6">
        <v>14.7324</v>
      </c>
      <c r="H39" s="7">
        <v>-252</v>
      </c>
      <c r="I39" s="4" t="s">
        <v>213</v>
      </c>
      <c r="J39" s="8" t="s">
        <v>15</v>
      </c>
      <c r="K39" s="6">
        <v>40.826999999999998</v>
      </c>
      <c r="L39" s="6">
        <v>14.138999999999999</v>
      </c>
      <c r="M39" s="5" t="s">
        <v>340</v>
      </c>
      <c r="N39" s="5" t="s">
        <v>340</v>
      </c>
      <c r="O39" s="4" t="s">
        <v>199</v>
      </c>
      <c r="P39" s="5" t="s">
        <v>340</v>
      </c>
      <c r="Q39" s="5">
        <v>9999</v>
      </c>
      <c r="R39" s="4" t="s">
        <v>978</v>
      </c>
      <c r="S39" s="4" t="s">
        <v>1122</v>
      </c>
      <c r="T39" s="7">
        <v>4483</v>
      </c>
      <c r="U39" s="7">
        <v>4540</v>
      </c>
      <c r="V39" s="7">
        <v>4627</v>
      </c>
      <c r="W39" s="15" t="s">
        <v>928</v>
      </c>
      <c r="X39" s="21" t="s">
        <v>1357</v>
      </c>
      <c r="Y39" s="7" t="s">
        <v>340</v>
      </c>
      <c r="Z39" s="7" t="s">
        <v>340</v>
      </c>
      <c r="AA39" s="7" t="s">
        <v>340</v>
      </c>
      <c r="AB39" s="7" t="s">
        <v>340</v>
      </c>
      <c r="AC39" s="7">
        <v>5390</v>
      </c>
      <c r="AD39" s="7">
        <v>270</v>
      </c>
      <c r="AE39" s="7">
        <v>4546</v>
      </c>
      <c r="AF39" s="7">
        <v>36</v>
      </c>
      <c r="AG39" s="7" t="s">
        <v>340</v>
      </c>
      <c r="AH39" s="5">
        <v>1</v>
      </c>
      <c r="AI39" s="5">
        <v>1</v>
      </c>
      <c r="AJ39" s="9">
        <f>IF(AND(ISNUMBER(F39),ISNUMBER(G39),ISNUMBER(K39),ISNUMBER(L39)),ACOS(MIN(1,COS(RADIANS(90-F39))*COS(RADIANS(90-K39))+SIN(RADIANS(90-F39))*SIN(RADIANS(90-K39))*COS(RADIANS(G39-L39))))*6371,"N/A")</f>
        <v>234.25061284983033</v>
      </c>
      <c r="AK39" s="10">
        <f>IF(AND(ISNUMBER(F39),ISNUMBER(G39),ISNUMBER(K39),ISNUMBER(L39)),MOD(DEGREES(ATAN2(COS(RADIANS(K39))*SIN(RADIANS(F39))-SIN(RADIANS(K39))*COS(RADIANS(F39))*COS(RADIANS(G39-L39)),SIN(RADIANS(G39-L39))*COS(RADIANS(F39))))+360,360),"N/A")</f>
        <v>11.91308572052094</v>
      </c>
      <c r="AL39" s="10" t="str">
        <f>IF(AND(ISNUMBER(F39),ISNUMBER(G39),ISNUMBER(M39),ISNUMBER(N39)),ACOS(MIN(1,COS(RADIANS(90-F39))*COS(RADIANS(90-M39))+SIN(RADIANS(90-F39))*SIN(RADIANS(90-M39))*COS(RADIANS(G39-N39))))*6371,"N/A")</f>
        <v>N/A</v>
      </c>
      <c r="AM39" s="10" t="str">
        <f>IF(AND(ISNUMBER(F39),ISNUMBER(G39),ISNUMBER(M39),ISNUMBER(N39)),MOD(DEGREES(ATAN2(COS(RADIANS(M39))*SIN(RADIANS(F39))-SIN(RADIANS(M39))*COS(RADIANS(F39))*COS(RADIANS(G39-N39)),SIN(RADIANS(G39-N39))*COS(RADIANS(F39))))+360,360),"N/A")</f>
        <v>N/A</v>
      </c>
      <c r="AN39" s="2"/>
      <c r="AO39" s="2"/>
    </row>
    <row r="40" spans="1:41" x14ac:dyDescent="0.2">
      <c r="A40" s="4" t="s">
        <v>360</v>
      </c>
      <c r="B40" s="4" t="s">
        <v>83</v>
      </c>
      <c r="C40" s="5">
        <v>589</v>
      </c>
      <c r="D40" s="4" t="s">
        <v>70</v>
      </c>
      <c r="E40" s="4" t="s">
        <v>71</v>
      </c>
      <c r="F40" s="6">
        <v>42.567900000000002</v>
      </c>
      <c r="G40" s="6">
        <v>15.0966</v>
      </c>
      <c r="H40" s="7">
        <v>-173</v>
      </c>
      <c r="I40" s="4" t="s">
        <v>213</v>
      </c>
      <c r="J40" s="8" t="s">
        <v>15</v>
      </c>
      <c r="K40" s="6">
        <v>40.826999999999998</v>
      </c>
      <c r="L40" s="6">
        <v>14.138999999999999</v>
      </c>
      <c r="M40" s="5" t="s">
        <v>340</v>
      </c>
      <c r="N40" s="5" t="s">
        <v>340</v>
      </c>
      <c r="O40" s="4" t="s">
        <v>199</v>
      </c>
      <c r="P40" s="5" t="s">
        <v>340</v>
      </c>
      <c r="Q40" s="5">
        <v>9999</v>
      </c>
      <c r="R40" s="4" t="s">
        <v>978</v>
      </c>
      <c r="S40" s="4" t="s">
        <v>1122</v>
      </c>
      <c r="T40" s="7">
        <v>4483</v>
      </c>
      <c r="U40" s="7">
        <v>4540</v>
      </c>
      <c r="V40" s="7">
        <v>4627</v>
      </c>
      <c r="W40" s="15" t="s">
        <v>928</v>
      </c>
      <c r="X40" s="21" t="s">
        <v>1357</v>
      </c>
      <c r="Y40" s="7" t="s">
        <v>340</v>
      </c>
      <c r="Z40" s="7" t="s">
        <v>340</v>
      </c>
      <c r="AA40" s="7" t="s">
        <v>340</v>
      </c>
      <c r="AB40" s="7" t="s">
        <v>340</v>
      </c>
      <c r="AC40" s="7">
        <v>5390</v>
      </c>
      <c r="AD40" s="7">
        <v>270</v>
      </c>
      <c r="AE40" s="7">
        <v>4546</v>
      </c>
      <c r="AF40" s="7">
        <v>36</v>
      </c>
      <c r="AG40" s="7" t="s">
        <v>340</v>
      </c>
      <c r="AH40" s="5">
        <v>1</v>
      </c>
      <c r="AI40" s="5">
        <v>1</v>
      </c>
      <c r="AJ40" s="9">
        <f>IF(AND(ISNUMBER(F40),ISNUMBER(G40),ISNUMBER(K40),ISNUMBER(L40)),ACOS(MIN(1,COS(RADIANS(90-F40))*COS(RADIANS(90-K40))+SIN(RADIANS(90-F40))*SIN(RADIANS(90-K40))*COS(RADIANS(G40-L40))))*6371,"N/A")</f>
        <v>209.26614973871389</v>
      </c>
      <c r="AK40" s="10">
        <f>IF(AND(ISNUMBER(F40),ISNUMBER(G40),ISNUMBER(K40),ISNUMBER(L40)),MOD(DEGREES(ATAN2(COS(RADIANS(K40))*SIN(RADIANS(F40))-SIN(RADIANS(K40))*COS(RADIANS(F40))*COS(RADIANS(G40-L40)),SIN(RADIANS(G40-L40))*COS(RADIANS(F40))))+360,360),"N/A")</f>
        <v>22.011265932907065</v>
      </c>
      <c r="AL40" s="10" t="str">
        <f>IF(AND(ISNUMBER(F40),ISNUMBER(G40),ISNUMBER(M40),ISNUMBER(N40)),ACOS(MIN(1,COS(RADIANS(90-F40))*COS(RADIANS(90-M40))+SIN(RADIANS(90-F40))*SIN(RADIANS(90-M40))*COS(RADIANS(G40-N40))))*6371,"N/A")</f>
        <v>N/A</v>
      </c>
      <c r="AM40" s="10" t="str">
        <f>IF(AND(ISNUMBER(F40),ISNUMBER(G40),ISNUMBER(M40),ISNUMBER(N40)),MOD(DEGREES(ATAN2(COS(RADIANS(M40))*SIN(RADIANS(F40))-SIN(RADIANS(M40))*COS(RADIANS(F40))*COS(RADIANS(G40-N40)),SIN(RADIANS(G40-N40))*COS(RADIANS(F40))))+360,360),"N/A")</f>
        <v>N/A</v>
      </c>
      <c r="AN40" s="2"/>
      <c r="AO40" s="2"/>
    </row>
    <row r="41" spans="1:41" x14ac:dyDescent="0.2">
      <c r="A41" s="4" t="s">
        <v>362</v>
      </c>
      <c r="B41" s="4" t="s">
        <v>85</v>
      </c>
      <c r="C41" s="5">
        <v>588</v>
      </c>
      <c r="D41" s="4" t="s">
        <v>70</v>
      </c>
      <c r="E41" s="4" t="s">
        <v>71</v>
      </c>
      <c r="F41" s="6">
        <v>42.886800000000001</v>
      </c>
      <c r="G41" s="6">
        <v>14.7324</v>
      </c>
      <c r="H41" s="7">
        <v>-252</v>
      </c>
      <c r="I41" s="4" t="s">
        <v>213</v>
      </c>
      <c r="J41" s="4" t="s">
        <v>15</v>
      </c>
      <c r="K41" s="6">
        <v>40.826999999999998</v>
      </c>
      <c r="L41" s="6">
        <v>14.138999999999999</v>
      </c>
      <c r="M41" s="5" t="s">
        <v>340</v>
      </c>
      <c r="N41" s="5" t="s">
        <v>340</v>
      </c>
      <c r="O41" s="4" t="s">
        <v>20</v>
      </c>
      <c r="P41" s="5" t="s">
        <v>340</v>
      </c>
      <c r="Q41" s="5">
        <v>9999</v>
      </c>
      <c r="R41" s="4" t="s">
        <v>978</v>
      </c>
      <c r="S41" s="4" t="s">
        <v>1122</v>
      </c>
      <c r="T41" s="7">
        <v>13761</v>
      </c>
      <c r="U41" s="7">
        <v>14029</v>
      </c>
      <c r="V41" s="7">
        <v>14356</v>
      </c>
      <c r="W41" s="15" t="s">
        <v>933</v>
      </c>
      <c r="X41" s="15" t="s">
        <v>1358</v>
      </c>
      <c r="Y41" s="7" t="s">
        <v>340</v>
      </c>
      <c r="Z41" s="7" t="s">
        <v>340</v>
      </c>
      <c r="AA41" s="7" t="s">
        <v>340</v>
      </c>
      <c r="AB41" s="7" t="s">
        <v>340</v>
      </c>
      <c r="AC41" s="7">
        <v>14120</v>
      </c>
      <c r="AD41" s="7">
        <v>710</v>
      </c>
      <c r="AE41" s="7">
        <v>14037</v>
      </c>
      <c r="AF41" s="7">
        <v>156</v>
      </c>
      <c r="AG41" s="7" t="s">
        <v>340</v>
      </c>
      <c r="AH41" s="5">
        <v>1</v>
      </c>
      <c r="AI41" s="5">
        <v>1</v>
      </c>
      <c r="AJ41" s="9">
        <f>IF(AND(ISNUMBER(F41),ISNUMBER(G41),ISNUMBER(K41),ISNUMBER(L41)),ACOS(MIN(1,COS(RADIANS(90-F41))*COS(RADIANS(90-K41))+SIN(RADIANS(90-F41))*SIN(RADIANS(90-K41))*COS(RADIANS(G41-L41))))*6371,"N/A")</f>
        <v>234.25061284983033</v>
      </c>
      <c r="AK41" s="10">
        <f>IF(AND(ISNUMBER(F41),ISNUMBER(G41),ISNUMBER(K41),ISNUMBER(L41)),MOD(DEGREES(ATAN2(COS(RADIANS(K41))*SIN(RADIANS(F41))-SIN(RADIANS(K41))*COS(RADIANS(F41))*COS(RADIANS(G41-L41)),SIN(RADIANS(G41-L41))*COS(RADIANS(F41))))+360,360),"N/A")</f>
        <v>11.91308572052094</v>
      </c>
      <c r="AL41" s="10" t="str">
        <f>IF(AND(ISNUMBER(F41),ISNUMBER(G41),ISNUMBER(M41),ISNUMBER(N41)),ACOS(MIN(1,COS(RADIANS(90-F41))*COS(RADIANS(90-M41))+SIN(RADIANS(90-F41))*SIN(RADIANS(90-M41))*COS(RADIANS(G41-N41))))*6371,"N/A")</f>
        <v>N/A</v>
      </c>
      <c r="AM41" s="10" t="str">
        <f>IF(AND(ISNUMBER(F41),ISNUMBER(G41),ISNUMBER(M41),ISNUMBER(N41)),MOD(DEGREES(ATAN2(COS(RADIANS(M41))*SIN(RADIANS(F41))-SIN(RADIANS(M41))*COS(RADIANS(F41))*COS(RADIANS(G41-N41)),SIN(RADIANS(G41-N41))*COS(RADIANS(F41))))+360,360),"N/A")</f>
        <v>N/A</v>
      </c>
      <c r="AN41" s="2"/>
      <c r="AO41" s="2"/>
    </row>
    <row r="42" spans="1:41" x14ac:dyDescent="0.2">
      <c r="A42" s="4" t="s">
        <v>359</v>
      </c>
      <c r="B42" s="4" t="s">
        <v>83</v>
      </c>
      <c r="C42" s="5">
        <v>589</v>
      </c>
      <c r="D42" s="4" t="s">
        <v>70</v>
      </c>
      <c r="E42" s="4" t="s">
        <v>71</v>
      </c>
      <c r="F42" s="6">
        <v>42.567900000000002</v>
      </c>
      <c r="G42" s="6">
        <v>15.0966</v>
      </c>
      <c r="H42" s="7">
        <v>-173</v>
      </c>
      <c r="I42" s="4" t="s">
        <v>213</v>
      </c>
      <c r="J42" s="4" t="s">
        <v>15</v>
      </c>
      <c r="K42" s="6">
        <v>40.826999999999998</v>
      </c>
      <c r="L42" s="6">
        <v>14.138999999999999</v>
      </c>
      <c r="M42" s="5" t="s">
        <v>340</v>
      </c>
      <c r="N42" s="5" t="s">
        <v>340</v>
      </c>
      <c r="O42" s="4" t="s">
        <v>20</v>
      </c>
      <c r="P42" s="5" t="s">
        <v>340</v>
      </c>
      <c r="Q42" s="5">
        <v>9999</v>
      </c>
      <c r="R42" s="4" t="s">
        <v>978</v>
      </c>
      <c r="S42" s="4" t="s">
        <v>1122</v>
      </c>
      <c r="T42" s="7">
        <v>13761</v>
      </c>
      <c r="U42" s="7">
        <v>14029</v>
      </c>
      <c r="V42" s="7">
        <v>14356</v>
      </c>
      <c r="W42" s="15" t="s">
        <v>933</v>
      </c>
      <c r="X42" s="15" t="s">
        <v>1358</v>
      </c>
      <c r="Y42" s="7" t="s">
        <v>340</v>
      </c>
      <c r="Z42" s="7" t="s">
        <v>340</v>
      </c>
      <c r="AA42" s="7" t="s">
        <v>340</v>
      </c>
      <c r="AB42" s="7" t="s">
        <v>340</v>
      </c>
      <c r="AC42" s="7">
        <v>14120</v>
      </c>
      <c r="AD42" s="7">
        <v>710</v>
      </c>
      <c r="AE42" s="7">
        <v>14037</v>
      </c>
      <c r="AF42" s="7">
        <v>156</v>
      </c>
      <c r="AG42" s="7" t="s">
        <v>340</v>
      </c>
      <c r="AH42" s="5">
        <v>1</v>
      </c>
      <c r="AI42" s="5">
        <v>1</v>
      </c>
      <c r="AJ42" s="9">
        <f>IF(AND(ISNUMBER(F42),ISNUMBER(G42),ISNUMBER(K42),ISNUMBER(L42)),ACOS(MIN(1,COS(RADIANS(90-F42))*COS(RADIANS(90-K42))+SIN(RADIANS(90-F42))*SIN(RADIANS(90-K42))*COS(RADIANS(G42-L42))))*6371,"N/A")</f>
        <v>209.26614973871389</v>
      </c>
      <c r="AK42" s="10">
        <f>IF(AND(ISNUMBER(F42),ISNUMBER(G42),ISNUMBER(K42),ISNUMBER(L42)),MOD(DEGREES(ATAN2(COS(RADIANS(K42))*SIN(RADIANS(F42))-SIN(RADIANS(K42))*COS(RADIANS(F42))*COS(RADIANS(G42-L42)),SIN(RADIANS(G42-L42))*COS(RADIANS(F42))))+360,360),"N/A")</f>
        <v>22.011265932907065</v>
      </c>
      <c r="AL42" s="10" t="str">
        <f>IF(AND(ISNUMBER(F42),ISNUMBER(G42),ISNUMBER(M42),ISNUMBER(N42)),ACOS(MIN(1,COS(RADIANS(90-F42))*COS(RADIANS(90-M42))+SIN(RADIANS(90-F42))*SIN(RADIANS(90-M42))*COS(RADIANS(G42-N42))))*6371,"N/A")</f>
        <v>N/A</v>
      </c>
      <c r="AM42" s="10" t="str">
        <f>IF(AND(ISNUMBER(F42),ISNUMBER(G42),ISNUMBER(M42),ISNUMBER(N42)),MOD(DEGREES(ATAN2(COS(RADIANS(M42))*SIN(RADIANS(F42))-SIN(RADIANS(M42))*COS(RADIANS(F42))*COS(RADIANS(G42-N42)),SIN(RADIANS(G42-N42))*COS(RADIANS(F42))))+360,360),"N/A")</f>
        <v>N/A</v>
      </c>
      <c r="AN42" s="2"/>
      <c r="AO42" s="2"/>
    </row>
    <row r="43" spans="1:41" x14ac:dyDescent="0.2">
      <c r="A43" s="4" t="s">
        <v>361</v>
      </c>
      <c r="B43" s="4" t="s">
        <v>84</v>
      </c>
      <c r="C43" s="5">
        <v>590</v>
      </c>
      <c r="D43" s="4" t="s">
        <v>70</v>
      </c>
      <c r="E43" s="4" t="s">
        <v>71</v>
      </c>
      <c r="F43" s="6">
        <v>42.622900000000001</v>
      </c>
      <c r="G43" s="6">
        <v>15.2012</v>
      </c>
      <c r="H43" s="7">
        <v>-161</v>
      </c>
      <c r="I43" s="4" t="s">
        <v>213</v>
      </c>
      <c r="J43" s="4" t="s">
        <v>15</v>
      </c>
      <c r="K43" s="6">
        <v>40.826999999999998</v>
      </c>
      <c r="L43" s="6">
        <v>14.138999999999999</v>
      </c>
      <c r="M43" s="5" t="s">
        <v>340</v>
      </c>
      <c r="N43" s="5" t="s">
        <v>340</v>
      </c>
      <c r="O43" s="4" t="s">
        <v>20</v>
      </c>
      <c r="P43" s="5" t="s">
        <v>340</v>
      </c>
      <c r="Q43" s="5">
        <v>9999</v>
      </c>
      <c r="R43" s="4" t="s">
        <v>978</v>
      </c>
      <c r="S43" s="4" t="s">
        <v>382</v>
      </c>
      <c r="T43" s="7">
        <v>13761</v>
      </c>
      <c r="U43" s="7">
        <v>14029</v>
      </c>
      <c r="V43" s="7">
        <v>14356</v>
      </c>
      <c r="W43" s="15" t="s">
        <v>933</v>
      </c>
      <c r="X43" s="15" t="s">
        <v>1358</v>
      </c>
      <c r="Y43" s="7" t="s">
        <v>340</v>
      </c>
      <c r="Z43" s="7" t="s">
        <v>340</v>
      </c>
      <c r="AA43" s="7" t="s">
        <v>340</v>
      </c>
      <c r="AB43" s="7" t="s">
        <v>340</v>
      </c>
      <c r="AC43" s="7">
        <v>14120</v>
      </c>
      <c r="AD43" s="7">
        <v>710</v>
      </c>
      <c r="AE43" s="7">
        <v>14037</v>
      </c>
      <c r="AF43" s="7">
        <v>156</v>
      </c>
      <c r="AG43" s="7" t="s">
        <v>340</v>
      </c>
      <c r="AH43" s="5">
        <v>1</v>
      </c>
      <c r="AI43" s="5">
        <v>1</v>
      </c>
      <c r="AJ43" s="9">
        <f>IF(AND(ISNUMBER(F43),ISNUMBER(G43),ISNUMBER(K43),ISNUMBER(L43)),ACOS(MIN(1,COS(RADIANS(90-F43))*COS(RADIANS(90-K43))+SIN(RADIANS(90-F43))*SIN(RADIANS(90-K43))*COS(RADIANS(G43-L43))))*6371,"N/A")</f>
        <v>218.28107757151503</v>
      </c>
      <c r="AK43" s="10">
        <f>IF(AND(ISNUMBER(F43),ISNUMBER(G43),ISNUMBER(K43),ISNUMBER(L43)),MOD(DEGREES(ATAN2(COS(RADIANS(K43))*SIN(RADIANS(F43))-SIN(RADIANS(K43))*COS(RADIANS(F43))*COS(RADIANS(G43-L43)),SIN(RADIANS(G43-L43))*COS(RADIANS(F43))))+360,360),"N/A")</f>
        <v>23.466240488148856</v>
      </c>
      <c r="AL43" s="10" t="str">
        <f>IF(AND(ISNUMBER(F43),ISNUMBER(G43),ISNUMBER(M43),ISNUMBER(N43)),ACOS(MIN(1,COS(RADIANS(90-F43))*COS(RADIANS(90-M43))+SIN(RADIANS(90-F43))*SIN(RADIANS(90-M43))*COS(RADIANS(G43-N43))))*6371,"N/A")</f>
        <v>N/A</v>
      </c>
      <c r="AM43" s="10" t="str">
        <f>IF(AND(ISNUMBER(F43),ISNUMBER(G43),ISNUMBER(M43),ISNUMBER(N43)),MOD(DEGREES(ATAN2(COS(RADIANS(M43))*SIN(RADIANS(F43))-SIN(RADIANS(M43))*COS(RADIANS(F43))*COS(RADIANS(G43-N43)),SIN(RADIANS(G43-N43))*COS(RADIANS(F43))))+360,360),"N/A")</f>
        <v>N/A</v>
      </c>
      <c r="AN43" s="2"/>
      <c r="AO43" s="2"/>
    </row>
    <row r="44" spans="1:41" x14ac:dyDescent="0.2">
      <c r="A44" s="4" t="s">
        <v>358</v>
      </c>
      <c r="B44" s="4" t="s">
        <v>83</v>
      </c>
      <c r="C44" s="5">
        <v>589</v>
      </c>
      <c r="D44" s="4" t="s">
        <v>70</v>
      </c>
      <c r="E44" s="4" t="s">
        <v>71</v>
      </c>
      <c r="F44" s="6">
        <v>42.567900000000002</v>
      </c>
      <c r="G44" s="6">
        <v>15.0966</v>
      </c>
      <c r="H44" s="7">
        <v>-173</v>
      </c>
      <c r="I44" s="4" t="s">
        <v>213</v>
      </c>
      <c r="J44" s="4" t="s">
        <v>42</v>
      </c>
      <c r="K44" s="6">
        <v>37.747999999999998</v>
      </c>
      <c r="L44" s="6">
        <v>14.999000000000001</v>
      </c>
      <c r="M44" s="5" t="s">
        <v>340</v>
      </c>
      <c r="N44" s="5" t="s">
        <v>340</v>
      </c>
      <c r="O44" s="4" t="s">
        <v>874</v>
      </c>
      <c r="P44" s="5" t="s">
        <v>340</v>
      </c>
      <c r="Q44" s="5">
        <v>9999</v>
      </c>
      <c r="R44" s="4" t="s">
        <v>978</v>
      </c>
      <c r="S44" s="4" t="s">
        <v>908</v>
      </c>
      <c r="T44" s="7">
        <v>17048</v>
      </c>
      <c r="U44" s="7">
        <v>17294</v>
      </c>
      <c r="V44" s="7">
        <v>17717</v>
      </c>
      <c r="W44" s="15" t="s">
        <v>934</v>
      </c>
      <c r="X44" s="15" t="s">
        <v>1365</v>
      </c>
      <c r="Y44" s="7">
        <v>14650</v>
      </c>
      <c r="Z44" s="7">
        <v>90</v>
      </c>
      <c r="AA44" s="7" t="s">
        <v>340</v>
      </c>
      <c r="AB44" s="7" t="s">
        <v>340</v>
      </c>
      <c r="AC44" s="7">
        <v>16440</v>
      </c>
      <c r="AD44" s="7">
        <v>820</v>
      </c>
      <c r="AE44" s="7">
        <v>17304</v>
      </c>
      <c r="AF44" s="7">
        <v>152</v>
      </c>
      <c r="AG44" s="7" t="s">
        <v>340</v>
      </c>
      <c r="AH44" s="5">
        <v>1</v>
      </c>
      <c r="AI44" s="5">
        <v>1</v>
      </c>
      <c r="AJ44" s="9">
        <f>IF(AND(ISNUMBER(F44),ISNUMBER(G44),ISNUMBER(K44),ISNUMBER(L44)),ACOS(MIN(1,COS(RADIANS(90-F44))*COS(RADIANS(90-K44))+SIN(RADIANS(90-F44))*SIN(RADIANS(90-K44))*COS(RADIANS(G44-L44))))*6371,"N/A")</f>
        <v>536.01248582249639</v>
      </c>
      <c r="AK44" s="10">
        <f>IF(AND(ISNUMBER(F44),ISNUMBER(G44),ISNUMBER(K44),ISNUMBER(L44)),MOD(DEGREES(ATAN2(COS(RADIANS(K44))*SIN(RADIANS(F44))-SIN(RADIANS(K44))*COS(RADIANS(F44))*COS(RADIANS(G44-L44)),SIN(RADIANS(G44-L44))*COS(RADIANS(F44))))+360,360),"N/A")</f>
        <v>0.85540074463057181</v>
      </c>
      <c r="AL44" s="10" t="str">
        <f>IF(AND(ISNUMBER(F44),ISNUMBER(G44),ISNUMBER(M44),ISNUMBER(N44)),ACOS(MIN(1,COS(RADIANS(90-F44))*COS(RADIANS(90-M44))+SIN(RADIANS(90-F44))*SIN(RADIANS(90-M44))*COS(RADIANS(G44-N44))))*6371,"N/A")</f>
        <v>N/A</v>
      </c>
      <c r="AM44" s="10" t="str">
        <f>IF(AND(ISNUMBER(F44),ISNUMBER(G44),ISNUMBER(M44),ISNUMBER(N44)),MOD(DEGREES(ATAN2(COS(RADIANS(M44))*SIN(RADIANS(F44))-SIN(RADIANS(M44))*COS(RADIANS(F44))*COS(RADIANS(G44-N44)),SIN(RADIANS(G44-N44))*COS(RADIANS(F44))))+360,360),"N/A")</f>
        <v>N/A</v>
      </c>
      <c r="AN44" s="2"/>
      <c r="AO44" s="2"/>
    </row>
    <row r="45" spans="1:41" x14ac:dyDescent="0.2">
      <c r="A45" s="4" t="s">
        <v>471</v>
      </c>
      <c r="B45" s="4" t="s">
        <v>116</v>
      </c>
      <c r="C45" s="5">
        <v>603</v>
      </c>
      <c r="D45" s="4" t="s">
        <v>70</v>
      </c>
      <c r="E45" s="4" t="s">
        <v>71</v>
      </c>
      <c r="F45" s="6">
        <v>42.616399999999999</v>
      </c>
      <c r="G45" s="6">
        <v>14.6183</v>
      </c>
      <c r="H45" s="7">
        <v>-150</v>
      </c>
      <c r="I45" s="4" t="s">
        <v>213</v>
      </c>
      <c r="J45" s="4" t="s">
        <v>15</v>
      </c>
      <c r="K45" s="6">
        <v>40.826999999999998</v>
      </c>
      <c r="L45" s="6">
        <v>14.138999999999999</v>
      </c>
      <c r="M45" s="5" t="s">
        <v>340</v>
      </c>
      <c r="N45" s="5" t="s">
        <v>340</v>
      </c>
      <c r="O45" s="4" t="s">
        <v>199</v>
      </c>
      <c r="P45" s="5" t="s">
        <v>340</v>
      </c>
      <c r="Q45" s="5">
        <v>9999</v>
      </c>
      <c r="R45" s="4" t="s">
        <v>41</v>
      </c>
      <c r="S45" s="4" t="s">
        <v>1121</v>
      </c>
      <c r="T45" s="7">
        <v>4483</v>
      </c>
      <c r="U45" s="7">
        <v>4540</v>
      </c>
      <c r="V45" s="7">
        <v>4627</v>
      </c>
      <c r="W45" s="15" t="s">
        <v>928</v>
      </c>
      <c r="X45" s="21" t="s">
        <v>1357</v>
      </c>
      <c r="Y45" s="7" t="s">
        <v>340</v>
      </c>
      <c r="Z45" s="7" t="s">
        <v>340</v>
      </c>
      <c r="AA45" s="7" t="s">
        <v>340</v>
      </c>
      <c r="AB45" s="7" t="s">
        <v>340</v>
      </c>
      <c r="AC45" s="7">
        <v>5390</v>
      </c>
      <c r="AD45" s="7">
        <v>270</v>
      </c>
      <c r="AE45" s="7">
        <v>4546</v>
      </c>
      <c r="AF45" s="7">
        <v>36</v>
      </c>
      <c r="AG45" s="7" t="s">
        <v>340</v>
      </c>
      <c r="AH45" s="5">
        <v>1</v>
      </c>
      <c r="AI45" s="5">
        <v>1</v>
      </c>
      <c r="AJ45" s="9">
        <f>IF(AND(ISNUMBER(F45),ISNUMBER(G45),ISNUMBER(K45),ISNUMBER(L45)),ACOS(MIN(1,COS(RADIANS(90-F45))*COS(RADIANS(90-K45))+SIN(RADIANS(90-F45))*SIN(RADIANS(90-K45))*COS(RADIANS(G45-L45))))*6371,"N/A")</f>
        <v>202.90855559988688</v>
      </c>
      <c r="AK45" s="10">
        <f>IF(AND(ISNUMBER(F45),ISNUMBER(G45),ISNUMBER(K45),ISNUMBER(L45)),MOD(DEGREES(ATAN2(COS(RADIANS(K45))*SIN(RADIANS(F45))-SIN(RADIANS(K45))*COS(RADIANS(F45))*COS(RADIANS(G45-L45)),SIN(RADIANS(G45-L45))*COS(RADIANS(F45))))+360,360),"N/A")</f>
        <v>11.146712984278679</v>
      </c>
      <c r="AL45" s="10" t="str">
        <f>IF(AND(ISNUMBER(F45),ISNUMBER(G45),ISNUMBER(M45),ISNUMBER(N45)),ACOS(MIN(1,COS(RADIANS(90-F45))*COS(RADIANS(90-M45))+SIN(RADIANS(90-F45))*SIN(RADIANS(90-M45))*COS(RADIANS(G45-N45))))*6371,"N/A")</f>
        <v>N/A</v>
      </c>
      <c r="AM45" s="10" t="str">
        <f>IF(AND(ISNUMBER(F45),ISNUMBER(G45),ISNUMBER(M45),ISNUMBER(N45)),MOD(DEGREES(ATAN2(COS(RADIANS(M45))*SIN(RADIANS(F45))-SIN(RADIANS(M45))*COS(RADIANS(F45))*COS(RADIANS(G45-N45)),SIN(RADIANS(G45-N45))*COS(RADIANS(F45))))+360,360),"N/A")</f>
        <v>N/A</v>
      </c>
      <c r="AN45" s="2"/>
      <c r="AO45" s="2"/>
    </row>
    <row r="46" spans="1:41" x14ac:dyDescent="0.2">
      <c r="A46" s="4" t="s">
        <v>475</v>
      </c>
      <c r="B46" s="4" t="s">
        <v>118</v>
      </c>
      <c r="C46" s="5">
        <v>604</v>
      </c>
      <c r="D46" s="4" t="s">
        <v>70</v>
      </c>
      <c r="E46" s="4" t="s">
        <v>71</v>
      </c>
      <c r="F46" s="6">
        <v>42.873899999999999</v>
      </c>
      <c r="G46" s="6">
        <v>14.939299999999999</v>
      </c>
      <c r="H46" s="7">
        <v>-214</v>
      </c>
      <c r="I46" s="4" t="s">
        <v>213</v>
      </c>
      <c r="J46" s="4" t="s">
        <v>15</v>
      </c>
      <c r="K46" s="6">
        <v>40.826999999999998</v>
      </c>
      <c r="L46" s="6">
        <v>14.138999999999999</v>
      </c>
      <c r="M46" s="5" t="s">
        <v>340</v>
      </c>
      <c r="N46" s="5" t="s">
        <v>340</v>
      </c>
      <c r="O46" s="4" t="s">
        <v>199</v>
      </c>
      <c r="P46" s="5" t="s">
        <v>340</v>
      </c>
      <c r="Q46" s="5">
        <v>9999</v>
      </c>
      <c r="R46" s="4" t="s">
        <v>41</v>
      </c>
      <c r="S46" s="4" t="s">
        <v>1121</v>
      </c>
      <c r="T46" s="7">
        <v>4483</v>
      </c>
      <c r="U46" s="7">
        <v>4540</v>
      </c>
      <c r="V46" s="7">
        <v>4627</v>
      </c>
      <c r="W46" s="15" t="s">
        <v>928</v>
      </c>
      <c r="X46" s="21" t="s">
        <v>1357</v>
      </c>
      <c r="Y46" s="7" t="s">
        <v>340</v>
      </c>
      <c r="Z46" s="7" t="s">
        <v>340</v>
      </c>
      <c r="AA46" s="7" t="s">
        <v>340</v>
      </c>
      <c r="AB46" s="7" t="s">
        <v>340</v>
      </c>
      <c r="AC46" s="7">
        <v>5390</v>
      </c>
      <c r="AD46" s="7">
        <v>270</v>
      </c>
      <c r="AE46" s="7">
        <v>4546</v>
      </c>
      <c r="AF46" s="7">
        <v>36</v>
      </c>
      <c r="AG46" s="7" t="s">
        <v>340</v>
      </c>
      <c r="AH46" s="5">
        <v>1</v>
      </c>
      <c r="AI46" s="5">
        <v>1</v>
      </c>
      <c r="AJ46" s="9">
        <f>IF(AND(ISNUMBER(F46),ISNUMBER(G46),ISNUMBER(K46),ISNUMBER(L46)),ACOS(MIN(1,COS(RADIANS(90-F46))*COS(RADIANS(90-K46))+SIN(RADIANS(90-F46))*SIN(RADIANS(90-K46))*COS(RADIANS(G46-L46))))*6371,"N/A")</f>
        <v>237.05769028658648</v>
      </c>
      <c r="AK46" s="10">
        <f>IF(AND(ISNUMBER(F46),ISNUMBER(G46),ISNUMBER(K46),ISNUMBER(L46)),MOD(DEGREES(ATAN2(COS(RADIANS(K46))*SIN(RADIANS(F46))-SIN(RADIANS(K46))*COS(RADIANS(F46))*COS(RADIANS(G46-L46)),SIN(RADIANS(G46-L46))*COS(RADIANS(F46))))+360,360),"N/A")</f>
        <v>15.971600474518027</v>
      </c>
      <c r="AL46" s="10" t="str">
        <f>IF(AND(ISNUMBER(F46),ISNUMBER(G46),ISNUMBER(M46),ISNUMBER(N46)),ACOS(MIN(1,COS(RADIANS(90-F46))*COS(RADIANS(90-M46))+SIN(RADIANS(90-F46))*SIN(RADIANS(90-M46))*COS(RADIANS(G46-N46))))*6371,"N/A")</f>
        <v>N/A</v>
      </c>
      <c r="AM46" s="10" t="str">
        <f>IF(AND(ISNUMBER(F46),ISNUMBER(G46),ISNUMBER(M46),ISNUMBER(N46)),MOD(DEGREES(ATAN2(COS(RADIANS(M46))*SIN(RADIANS(F46))-SIN(RADIANS(M46))*COS(RADIANS(F46))*COS(RADIANS(G46-N46)),SIN(RADIANS(G46-N46))*COS(RADIANS(F46))))+360,360),"N/A")</f>
        <v>N/A</v>
      </c>
      <c r="AN46" s="2"/>
      <c r="AO46" s="2"/>
    </row>
    <row r="47" spans="1:41" x14ac:dyDescent="0.2">
      <c r="A47" s="4" t="s">
        <v>470</v>
      </c>
      <c r="B47" s="4" t="s">
        <v>116</v>
      </c>
      <c r="C47" s="5">
        <v>603</v>
      </c>
      <c r="D47" s="4" t="s">
        <v>70</v>
      </c>
      <c r="E47" s="4" t="s">
        <v>71</v>
      </c>
      <c r="F47" s="6">
        <v>42.616399999999999</v>
      </c>
      <c r="G47" s="6">
        <v>14.6183</v>
      </c>
      <c r="H47" s="7">
        <v>-150</v>
      </c>
      <c r="I47" s="4" t="s">
        <v>213</v>
      </c>
      <c r="J47" s="4" t="s">
        <v>15</v>
      </c>
      <c r="K47" s="6">
        <v>40.826999999999998</v>
      </c>
      <c r="L47" s="6">
        <v>14.138999999999999</v>
      </c>
      <c r="M47" s="5" t="s">
        <v>340</v>
      </c>
      <c r="N47" s="5" t="s">
        <v>340</v>
      </c>
      <c r="O47" s="4" t="s">
        <v>20</v>
      </c>
      <c r="P47" s="5" t="s">
        <v>340</v>
      </c>
      <c r="Q47" s="5">
        <v>9999</v>
      </c>
      <c r="R47" s="4" t="s">
        <v>41</v>
      </c>
      <c r="S47" s="4" t="s">
        <v>1121</v>
      </c>
      <c r="T47" s="7">
        <v>13761</v>
      </c>
      <c r="U47" s="7">
        <v>14029</v>
      </c>
      <c r="V47" s="7">
        <v>14356</v>
      </c>
      <c r="W47" s="15" t="s">
        <v>933</v>
      </c>
      <c r="X47" s="15" t="s">
        <v>1358</v>
      </c>
      <c r="Y47" s="7" t="s">
        <v>340</v>
      </c>
      <c r="Z47" s="7" t="s">
        <v>340</v>
      </c>
      <c r="AA47" s="7" t="s">
        <v>340</v>
      </c>
      <c r="AB47" s="7" t="s">
        <v>340</v>
      </c>
      <c r="AC47" s="7">
        <v>14120</v>
      </c>
      <c r="AD47" s="7">
        <v>710</v>
      </c>
      <c r="AE47" s="7">
        <v>14037</v>
      </c>
      <c r="AF47" s="7">
        <v>156</v>
      </c>
      <c r="AG47" s="7" t="s">
        <v>340</v>
      </c>
      <c r="AH47" s="5">
        <v>1</v>
      </c>
      <c r="AI47" s="5">
        <v>1</v>
      </c>
      <c r="AJ47" s="9">
        <f>IF(AND(ISNUMBER(F47),ISNUMBER(G47),ISNUMBER(K47),ISNUMBER(L47)),ACOS(MIN(1,COS(RADIANS(90-F47))*COS(RADIANS(90-K47))+SIN(RADIANS(90-F47))*SIN(RADIANS(90-K47))*COS(RADIANS(G47-L47))))*6371,"N/A")</f>
        <v>202.90855559988688</v>
      </c>
      <c r="AK47" s="10">
        <f>IF(AND(ISNUMBER(F47),ISNUMBER(G47),ISNUMBER(K47),ISNUMBER(L47)),MOD(DEGREES(ATAN2(COS(RADIANS(K47))*SIN(RADIANS(F47))-SIN(RADIANS(K47))*COS(RADIANS(F47))*COS(RADIANS(G47-L47)),SIN(RADIANS(G47-L47))*COS(RADIANS(F47))))+360,360),"N/A")</f>
        <v>11.146712984278679</v>
      </c>
      <c r="AL47" s="10" t="str">
        <f>IF(AND(ISNUMBER(F47),ISNUMBER(G47),ISNUMBER(M47),ISNUMBER(N47)),ACOS(MIN(1,COS(RADIANS(90-F47))*COS(RADIANS(90-M47))+SIN(RADIANS(90-F47))*SIN(RADIANS(90-M47))*COS(RADIANS(G47-N47))))*6371,"N/A")</f>
        <v>N/A</v>
      </c>
      <c r="AM47" s="10" t="str">
        <f>IF(AND(ISNUMBER(F47),ISNUMBER(G47),ISNUMBER(M47),ISNUMBER(N47)),MOD(DEGREES(ATAN2(COS(RADIANS(M47))*SIN(RADIANS(F47))-SIN(RADIANS(M47))*COS(RADIANS(F47))*COS(RADIANS(G47-N47)),SIN(RADIANS(G47-N47))*COS(RADIANS(F47))))+360,360),"N/A")</f>
        <v>N/A</v>
      </c>
      <c r="AN47" s="2"/>
      <c r="AO47" s="2"/>
    </row>
    <row r="48" spans="1:41" x14ac:dyDescent="0.2">
      <c r="A48" s="4" t="s">
        <v>473</v>
      </c>
      <c r="B48" s="4" t="s">
        <v>118</v>
      </c>
      <c r="C48" s="5">
        <v>604</v>
      </c>
      <c r="D48" s="4" t="s">
        <v>70</v>
      </c>
      <c r="E48" s="4" t="s">
        <v>71</v>
      </c>
      <c r="F48" s="6">
        <v>42.873899999999999</v>
      </c>
      <c r="G48" s="6">
        <v>14.939299999999999</v>
      </c>
      <c r="H48" s="7">
        <v>-214</v>
      </c>
      <c r="I48" s="4" t="s">
        <v>213</v>
      </c>
      <c r="J48" s="4" t="s">
        <v>15</v>
      </c>
      <c r="K48" s="6">
        <v>40.826999999999998</v>
      </c>
      <c r="L48" s="6">
        <v>14.138999999999999</v>
      </c>
      <c r="M48" s="5" t="s">
        <v>340</v>
      </c>
      <c r="N48" s="5" t="s">
        <v>340</v>
      </c>
      <c r="O48" s="4" t="s">
        <v>20</v>
      </c>
      <c r="P48" s="5" t="s">
        <v>340</v>
      </c>
      <c r="Q48" s="5">
        <v>9999</v>
      </c>
      <c r="R48" s="4" t="s">
        <v>41</v>
      </c>
      <c r="S48" s="4" t="s">
        <v>1121</v>
      </c>
      <c r="T48" s="7">
        <v>13761</v>
      </c>
      <c r="U48" s="7">
        <v>14029</v>
      </c>
      <c r="V48" s="7">
        <v>14356</v>
      </c>
      <c r="W48" s="15" t="s">
        <v>933</v>
      </c>
      <c r="X48" s="15" t="s">
        <v>1358</v>
      </c>
      <c r="Y48" s="7" t="s">
        <v>340</v>
      </c>
      <c r="Z48" s="7" t="s">
        <v>340</v>
      </c>
      <c r="AA48" s="7" t="s">
        <v>340</v>
      </c>
      <c r="AB48" s="7" t="s">
        <v>340</v>
      </c>
      <c r="AC48" s="7">
        <v>14120</v>
      </c>
      <c r="AD48" s="7">
        <v>710</v>
      </c>
      <c r="AE48" s="7">
        <v>14037</v>
      </c>
      <c r="AF48" s="7">
        <v>156</v>
      </c>
      <c r="AG48" s="7" t="s">
        <v>340</v>
      </c>
      <c r="AH48" s="5">
        <v>1</v>
      </c>
      <c r="AI48" s="5">
        <v>1</v>
      </c>
      <c r="AJ48" s="9">
        <f>IF(AND(ISNUMBER(F48),ISNUMBER(G48),ISNUMBER(K48),ISNUMBER(L48)),ACOS(MIN(1,COS(RADIANS(90-F48))*COS(RADIANS(90-K48))+SIN(RADIANS(90-F48))*SIN(RADIANS(90-K48))*COS(RADIANS(G48-L48))))*6371,"N/A")</f>
        <v>237.05769028658648</v>
      </c>
      <c r="AK48" s="10">
        <f>IF(AND(ISNUMBER(F48),ISNUMBER(G48),ISNUMBER(K48),ISNUMBER(L48)),MOD(DEGREES(ATAN2(COS(RADIANS(K48))*SIN(RADIANS(F48))-SIN(RADIANS(K48))*COS(RADIANS(F48))*COS(RADIANS(G48-L48)),SIN(RADIANS(G48-L48))*COS(RADIANS(F48))))+360,360),"N/A")</f>
        <v>15.971600474518027</v>
      </c>
      <c r="AL48" s="10" t="str">
        <f>IF(AND(ISNUMBER(F48),ISNUMBER(G48),ISNUMBER(M48),ISNUMBER(N48)),ACOS(MIN(1,COS(RADIANS(90-F48))*COS(RADIANS(90-M48))+SIN(RADIANS(90-F48))*SIN(RADIANS(90-M48))*COS(RADIANS(G48-N48))))*6371,"N/A")</f>
        <v>N/A</v>
      </c>
      <c r="AM48" s="10" t="str">
        <f>IF(AND(ISNUMBER(F48),ISNUMBER(G48),ISNUMBER(M48),ISNUMBER(N48)),MOD(DEGREES(ATAN2(COS(RADIANS(M48))*SIN(RADIANS(F48))-SIN(RADIANS(M48))*COS(RADIANS(F48))*COS(RADIANS(G48-N48)),SIN(RADIANS(G48-N48))*COS(RADIANS(F48))))+360,360),"N/A")</f>
        <v>N/A</v>
      </c>
      <c r="AN48" s="2"/>
      <c r="AO48" s="2"/>
    </row>
    <row r="49" spans="1:41" x14ac:dyDescent="0.2">
      <c r="A49" s="4" t="s">
        <v>474</v>
      </c>
      <c r="B49" s="4" t="s">
        <v>118</v>
      </c>
      <c r="C49" s="5">
        <v>604</v>
      </c>
      <c r="D49" s="4" t="s">
        <v>70</v>
      </c>
      <c r="E49" s="4" t="s">
        <v>71</v>
      </c>
      <c r="F49" s="6">
        <v>42.873899999999999</v>
      </c>
      <c r="G49" s="6">
        <v>14.939299999999999</v>
      </c>
      <c r="H49" s="7">
        <v>-214</v>
      </c>
      <c r="I49" s="4" t="s">
        <v>213</v>
      </c>
      <c r="J49" s="4" t="s">
        <v>15</v>
      </c>
      <c r="K49" s="6">
        <v>40.826999999999998</v>
      </c>
      <c r="L49" s="6">
        <v>14.138999999999999</v>
      </c>
      <c r="M49" s="5" t="s">
        <v>340</v>
      </c>
      <c r="N49" s="5" t="s">
        <v>340</v>
      </c>
      <c r="O49" s="4" t="s">
        <v>232</v>
      </c>
      <c r="P49" s="5" t="s">
        <v>340</v>
      </c>
      <c r="Q49" s="5">
        <v>9999</v>
      </c>
      <c r="R49" s="4" t="s">
        <v>41</v>
      </c>
      <c r="S49" s="4" t="s">
        <v>1121</v>
      </c>
      <c r="T49" s="7">
        <v>11860</v>
      </c>
      <c r="U49" s="7">
        <v>12096</v>
      </c>
      <c r="V49" s="7">
        <v>12396</v>
      </c>
      <c r="W49" s="15" t="s">
        <v>928</v>
      </c>
      <c r="X49" s="21" t="s">
        <v>1357</v>
      </c>
      <c r="Y49" s="7" t="s">
        <v>340</v>
      </c>
      <c r="Z49" s="7" t="s">
        <v>340</v>
      </c>
      <c r="AA49" s="7" t="s">
        <v>340</v>
      </c>
      <c r="AB49" s="7" t="s">
        <v>340</v>
      </c>
      <c r="AC49" s="7">
        <v>12180</v>
      </c>
      <c r="AD49" s="7">
        <v>610</v>
      </c>
      <c r="AE49" s="7">
        <v>12104</v>
      </c>
      <c r="AF49" s="7">
        <v>141</v>
      </c>
      <c r="AG49" s="7" t="s">
        <v>340</v>
      </c>
      <c r="AH49" s="5">
        <v>1</v>
      </c>
      <c r="AI49" s="5">
        <v>1</v>
      </c>
      <c r="AJ49" s="9">
        <f>IF(AND(ISNUMBER(F49),ISNUMBER(G49),ISNUMBER(K49),ISNUMBER(L49)),ACOS(MIN(1,COS(RADIANS(90-F49))*COS(RADIANS(90-K49))+SIN(RADIANS(90-F49))*SIN(RADIANS(90-K49))*COS(RADIANS(G49-L49))))*6371,"N/A")</f>
        <v>237.05769028658648</v>
      </c>
      <c r="AK49" s="10">
        <f>IF(AND(ISNUMBER(F49),ISNUMBER(G49),ISNUMBER(K49),ISNUMBER(L49)),MOD(DEGREES(ATAN2(COS(RADIANS(K49))*SIN(RADIANS(F49))-SIN(RADIANS(K49))*COS(RADIANS(F49))*COS(RADIANS(G49-L49)),SIN(RADIANS(G49-L49))*COS(RADIANS(F49))))+360,360),"N/A")</f>
        <v>15.971600474518027</v>
      </c>
      <c r="AL49" s="10" t="str">
        <f>IF(AND(ISNUMBER(F49),ISNUMBER(G49),ISNUMBER(M49),ISNUMBER(N49)),ACOS(MIN(1,COS(RADIANS(90-F49))*COS(RADIANS(90-M49))+SIN(RADIANS(90-F49))*SIN(RADIANS(90-M49))*COS(RADIANS(G49-N49))))*6371,"N/A")</f>
        <v>N/A</v>
      </c>
      <c r="AM49" s="10" t="str">
        <f>IF(AND(ISNUMBER(F49),ISNUMBER(G49),ISNUMBER(M49),ISNUMBER(N49)),MOD(DEGREES(ATAN2(COS(RADIANS(M49))*SIN(RADIANS(F49))-SIN(RADIANS(M49))*COS(RADIANS(F49))*COS(RADIANS(G49-N49)),SIN(RADIANS(G49-N49))*COS(RADIANS(F49))))+360,360),"N/A")</f>
        <v>N/A</v>
      </c>
      <c r="AN49" s="2"/>
      <c r="AO49" s="2"/>
    </row>
    <row r="50" spans="1:41" x14ac:dyDescent="0.2">
      <c r="A50" s="4" t="s">
        <v>469</v>
      </c>
      <c r="B50" s="4" t="s">
        <v>116</v>
      </c>
      <c r="C50" s="5">
        <v>603</v>
      </c>
      <c r="D50" s="4" t="s">
        <v>70</v>
      </c>
      <c r="E50" s="4" t="s">
        <v>71</v>
      </c>
      <c r="F50" s="6">
        <v>42.616399999999999</v>
      </c>
      <c r="G50" s="6">
        <v>14.6183</v>
      </c>
      <c r="H50" s="7">
        <v>-150</v>
      </c>
      <c r="I50" s="4" t="s">
        <v>213</v>
      </c>
      <c r="J50" s="4" t="s">
        <v>42</v>
      </c>
      <c r="K50" s="6">
        <v>37.747999999999998</v>
      </c>
      <c r="L50" s="6">
        <v>14.999000000000001</v>
      </c>
      <c r="M50" s="5" t="s">
        <v>340</v>
      </c>
      <c r="N50" s="5" t="s">
        <v>340</v>
      </c>
      <c r="O50" s="4" t="s">
        <v>350</v>
      </c>
      <c r="P50" s="5" t="s">
        <v>340</v>
      </c>
      <c r="Q50" s="5">
        <v>9999</v>
      </c>
      <c r="R50" s="4" t="s">
        <v>41</v>
      </c>
      <c r="S50" s="4" t="s">
        <v>1121</v>
      </c>
      <c r="T50" s="7">
        <v>17825</v>
      </c>
      <c r="U50" s="7">
        <v>18042</v>
      </c>
      <c r="V50" s="7">
        <v>18269</v>
      </c>
      <c r="W50" s="15" t="s">
        <v>933</v>
      </c>
      <c r="X50" s="15" t="s">
        <v>1366</v>
      </c>
      <c r="Y50" s="7" t="s">
        <v>340</v>
      </c>
      <c r="Z50" s="7" t="s">
        <v>340</v>
      </c>
      <c r="AA50" s="7" t="s">
        <v>340</v>
      </c>
      <c r="AB50" s="7" t="s">
        <v>340</v>
      </c>
      <c r="AC50" s="7">
        <v>16440</v>
      </c>
      <c r="AD50" s="7">
        <v>820</v>
      </c>
      <c r="AE50" s="7">
        <v>18044</v>
      </c>
      <c r="AF50" s="7">
        <v>110</v>
      </c>
      <c r="AG50" s="7" t="s">
        <v>340</v>
      </c>
      <c r="AH50" s="5">
        <v>1</v>
      </c>
      <c r="AI50" s="5">
        <v>1</v>
      </c>
      <c r="AJ50" s="9">
        <f>IF(AND(ISNUMBER(F50),ISNUMBER(G50),ISNUMBER(K50),ISNUMBER(L50)),ACOS(MIN(1,COS(RADIANS(90-F50))*COS(RADIANS(90-K50))+SIN(RADIANS(90-F50))*SIN(RADIANS(90-K50))*COS(RADIANS(G50-L50))))*6371,"N/A")</f>
        <v>542.30478556493711</v>
      </c>
      <c r="AK50" s="10">
        <f>IF(AND(ISNUMBER(F50),ISNUMBER(G50),ISNUMBER(K50),ISNUMBER(L50)),MOD(DEGREES(ATAN2(COS(RADIANS(K50))*SIN(RADIANS(F50))-SIN(RADIANS(K50))*COS(RADIANS(F50))*COS(RADIANS(G50-L50)),SIN(RADIANS(G50-L50))*COS(RADIANS(F50))))+360,360),"N/A")</f>
        <v>356.70292445208895</v>
      </c>
      <c r="AL50" s="10" t="str">
        <f>IF(AND(ISNUMBER(F50),ISNUMBER(G50),ISNUMBER(M50),ISNUMBER(N50)),ACOS(MIN(1,COS(RADIANS(90-F50))*COS(RADIANS(90-M50))+SIN(RADIANS(90-F50))*SIN(RADIANS(90-M50))*COS(RADIANS(G50-N50))))*6371,"N/A")</f>
        <v>N/A</v>
      </c>
      <c r="AM50" s="10" t="str">
        <f>IF(AND(ISNUMBER(F50),ISNUMBER(G50),ISNUMBER(M50),ISNUMBER(N50)),MOD(DEGREES(ATAN2(COS(RADIANS(M50))*SIN(RADIANS(F50))-SIN(RADIANS(M50))*COS(RADIANS(F50))*COS(RADIANS(G50-N50)),SIN(RADIANS(G50-N50))*COS(RADIANS(F50))))+360,360),"N/A")</f>
        <v>N/A</v>
      </c>
      <c r="AN50" s="2"/>
      <c r="AO50" s="2"/>
    </row>
    <row r="51" spans="1:41" x14ac:dyDescent="0.2">
      <c r="A51" s="4" t="s">
        <v>472</v>
      </c>
      <c r="B51" s="4" t="s">
        <v>118</v>
      </c>
      <c r="C51" s="5">
        <v>604</v>
      </c>
      <c r="D51" s="4" t="s">
        <v>70</v>
      </c>
      <c r="E51" s="4" t="s">
        <v>71</v>
      </c>
      <c r="F51" s="6">
        <v>42.873899999999999</v>
      </c>
      <c r="G51" s="6">
        <v>14.939299999999999</v>
      </c>
      <c r="H51" s="7">
        <v>-214</v>
      </c>
      <c r="I51" s="4" t="s">
        <v>213</v>
      </c>
      <c r="J51" s="4" t="s">
        <v>42</v>
      </c>
      <c r="K51" s="6">
        <v>37.747999999999998</v>
      </c>
      <c r="L51" s="6">
        <v>14.999000000000001</v>
      </c>
      <c r="M51" s="5" t="s">
        <v>340</v>
      </c>
      <c r="N51" s="5" t="s">
        <v>340</v>
      </c>
      <c r="O51" s="4" t="s">
        <v>350</v>
      </c>
      <c r="P51" s="5" t="s">
        <v>340</v>
      </c>
      <c r="Q51" s="5">
        <v>9999</v>
      </c>
      <c r="R51" s="4" t="s">
        <v>41</v>
      </c>
      <c r="S51" s="4" t="s">
        <v>1121</v>
      </c>
      <c r="T51" s="7">
        <v>17825</v>
      </c>
      <c r="U51" s="7">
        <v>18042</v>
      </c>
      <c r="V51" s="7">
        <v>18269</v>
      </c>
      <c r="W51" s="15" t="s">
        <v>933</v>
      </c>
      <c r="X51" s="15" t="s">
        <v>1366</v>
      </c>
      <c r="Y51" s="7" t="s">
        <v>340</v>
      </c>
      <c r="Z51" s="7" t="s">
        <v>340</v>
      </c>
      <c r="AA51" s="7" t="s">
        <v>340</v>
      </c>
      <c r="AB51" s="7" t="s">
        <v>340</v>
      </c>
      <c r="AC51" s="7">
        <v>16440</v>
      </c>
      <c r="AD51" s="7">
        <v>820</v>
      </c>
      <c r="AE51" s="7">
        <v>18044</v>
      </c>
      <c r="AF51" s="7">
        <v>110</v>
      </c>
      <c r="AG51" s="7" t="s">
        <v>340</v>
      </c>
      <c r="AH51" s="5">
        <v>1</v>
      </c>
      <c r="AI51" s="5">
        <v>1</v>
      </c>
      <c r="AJ51" s="9">
        <f>IF(AND(ISNUMBER(F51),ISNUMBER(G51),ISNUMBER(K51),ISNUMBER(L51)),ACOS(MIN(1,COS(RADIANS(90-F51))*COS(RADIANS(90-K51))+SIN(RADIANS(90-F51))*SIN(RADIANS(90-K51))*COS(RADIANS(G51-L51))))*6371,"N/A")</f>
        <v>569.99650498983431</v>
      </c>
      <c r="AK51" s="10">
        <f>IF(AND(ISNUMBER(F51),ISNUMBER(G51),ISNUMBER(K51),ISNUMBER(L51)),MOD(DEGREES(ATAN2(COS(RADIANS(K51))*SIN(RADIANS(F51))-SIN(RADIANS(K51))*COS(RADIANS(F51))*COS(RADIANS(G51-L51)),SIN(RADIANS(G51-L51))*COS(RADIANS(F51))))+360,360),"N/A")</f>
        <v>359.51032119927191</v>
      </c>
      <c r="AL51" s="10" t="str">
        <f>IF(AND(ISNUMBER(F51),ISNUMBER(G51),ISNUMBER(M51),ISNUMBER(N51)),ACOS(MIN(1,COS(RADIANS(90-F51))*COS(RADIANS(90-M51))+SIN(RADIANS(90-F51))*SIN(RADIANS(90-M51))*COS(RADIANS(G51-N51))))*6371,"N/A")</f>
        <v>N/A</v>
      </c>
      <c r="AM51" s="10" t="str">
        <f>IF(AND(ISNUMBER(F51),ISNUMBER(G51),ISNUMBER(M51),ISNUMBER(N51)),MOD(DEGREES(ATAN2(COS(RADIANS(M51))*SIN(RADIANS(F51))-SIN(RADIANS(M51))*COS(RADIANS(F51))*COS(RADIANS(G51-N51)),SIN(RADIANS(G51-N51))*COS(RADIANS(F51))))+360,360),"N/A")</f>
        <v>N/A</v>
      </c>
      <c r="AN51" s="2"/>
      <c r="AO51" s="2"/>
    </row>
    <row r="52" spans="1:41" x14ac:dyDescent="0.2">
      <c r="A52" s="4" t="s">
        <v>477</v>
      </c>
      <c r="B52" s="4" t="s">
        <v>119</v>
      </c>
      <c r="C52" s="5">
        <v>605</v>
      </c>
      <c r="D52" s="4" t="s">
        <v>70</v>
      </c>
      <c r="E52" s="4" t="s">
        <v>71</v>
      </c>
      <c r="F52" s="6">
        <v>42.423400000000001</v>
      </c>
      <c r="G52" s="6">
        <v>15.107799999999999</v>
      </c>
      <c r="H52" s="7">
        <v>-146</v>
      </c>
      <c r="I52" s="4" t="s">
        <v>221</v>
      </c>
      <c r="J52" s="4" t="s">
        <v>15</v>
      </c>
      <c r="K52" s="6">
        <v>40.826999999999998</v>
      </c>
      <c r="L52" s="6">
        <v>14.138999999999999</v>
      </c>
      <c r="M52" s="5" t="s">
        <v>340</v>
      </c>
      <c r="N52" s="5" t="s">
        <v>340</v>
      </c>
      <c r="O52" s="4" t="s">
        <v>199</v>
      </c>
      <c r="P52" s="5" t="s">
        <v>340</v>
      </c>
      <c r="Q52" s="5">
        <v>9999</v>
      </c>
      <c r="R52" s="4" t="s">
        <v>41</v>
      </c>
      <c r="S52" s="4" t="s">
        <v>1121</v>
      </c>
      <c r="T52" s="7">
        <v>4483</v>
      </c>
      <c r="U52" s="7">
        <v>4540</v>
      </c>
      <c r="V52" s="7">
        <v>4627</v>
      </c>
      <c r="W52" s="15" t="s">
        <v>928</v>
      </c>
      <c r="X52" s="21" t="s">
        <v>1357</v>
      </c>
      <c r="Y52" s="7" t="s">
        <v>340</v>
      </c>
      <c r="Z52" s="7" t="s">
        <v>340</v>
      </c>
      <c r="AA52" s="7" t="s">
        <v>340</v>
      </c>
      <c r="AB52" s="7" t="s">
        <v>340</v>
      </c>
      <c r="AC52" s="7">
        <v>5390</v>
      </c>
      <c r="AD52" s="7">
        <v>270</v>
      </c>
      <c r="AE52" s="7">
        <v>4546</v>
      </c>
      <c r="AF52" s="7">
        <v>36</v>
      </c>
      <c r="AG52" s="7" t="s">
        <v>340</v>
      </c>
      <c r="AH52" s="5">
        <v>1</v>
      </c>
      <c r="AI52" s="5">
        <v>1</v>
      </c>
      <c r="AJ52" s="9">
        <f>IF(AND(ISNUMBER(F52),ISNUMBER(G52),ISNUMBER(K52),ISNUMBER(L52)),ACOS(MIN(1,COS(RADIANS(90-F52))*COS(RADIANS(90-K52))+SIN(RADIANS(90-F52))*SIN(RADIANS(90-K52))*COS(RADIANS(G52-L52))))*6371,"N/A")</f>
        <v>194.91856443903035</v>
      </c>
      <c r="AK52" s="10">
        <f>IF(AND(ISNUMBER(F52),ISNUMBER(G52),ISNUMBER(K52),ISNUMBER(L52)),MOD(DEGREES(ATAN2(COS(RADIANS(K52))*SIN(RADIANS(F52))-SIN(RADIANS(K52))*COS(RADIANS(F52))*COS(RADIANS(G52-L52)),SIN(RADIANS(G52-L52))*COS(RADIANS(F52))))+360,360),"N/A")</f>
        <v>24.080144339480455</v>
      </c>
      <c r="AL52" s="10" t="str">
        <f>IF(AND(ISNUMBER(F52),ISNUMBER(G52),ISNUMBER(M52),ISNUMBER(N52)),ACOS(MIN(1,COS(RADIANS(90-F52))*COS(RADIANS(90-M52))+SIN(RADIANS(90-F52))*SIN(RADIANS(90-M52))*COS(RADIANS(G52-N52))))*6371,"N/A")</f>
        <v>N/A</v>
      </c>
      <c r="AM52" s="10" t="str">
        <f>IF(AND(ISNUMBER(F52),ISNUMBER(G52),ISNUMBER(M52),ISNUMBER(N52)),MOD(DEGREES(ATAN2(COS(RADIANS(M52))*SIN(RADIANS(F52))-SIN(RADIANS(M52))*COS(RADIANS(F52))*COS(RADIANS(G52-N52)),SIN(RADIANS(G52-N52))*COS(RADIANS(F52))))+360,360),"N/A")</f>
        <v>N/A</v>
      </c>
      <c r="AN52" s="2"/>
      <c r="AO52" s="2"/>
    </row>
    <row r="53" spans="1:41" x14ac:dyDescent="0.2">
      <c r="A53" s="4" t="s">
        <v>476</v>
      </c>
      <c r="B53" s="4" t="s">
        <v>119</v>
      </c>
      <c r="C53" s="5">
        <v>605</v>
      </c>
      <c r="D53" s="4" t="s">
        <v>70</v>
      </c>
      <c r="E53" s="4" t="s">
        <v>71</v>
      </c>
      <c r="F53" s="6">
        <v>42.423400000000001</v>
      </c>
      <c r="G53" s="6">
        <v>15.107799999999999</v>
      </c>
      <c r="H53" s="7">
        <v>-146</v>
      </c>
      <c r="I53" s="4" t="s">
        <v>221</v>
      </c>
      <c r="J53" s="4" t="s">
        <v>15</v>
      </c>
      <c r="K53" s="6">
        <v>40.826999999999998</v>
      </c>
      <c r="L53" s="6">
        <v>14.138999999999999</v>
      </c>
      <c r="M53" s="5" t="s">
        <v>340</v>
      </c>
      <c r="N53" s="5" t="s">
        <v>340</v>
      </c>
      <c r="O53" s="4" t="s">
        <v>20</v>
      </c>
      <c r="P53" s="5" t="s">
        <v>340</v>
      </c>
      <c r="Q53" s="5">
        <v>9999</v>
      </c>
      <c r="R53" s="4" t="s">
        <v>41</v>
      </c>
      <c r="S53" s="4" t="s">
        <v>1121</v>
      </c>
      <c r="T53" s="7">
        <v>13761</v>
      </c>
      <c r="U53" s="7">
        <v>14029</v>
      </c>
      <c r="V53" s="7">
        <v>14356</v>
      </c>
      <c r="W53" s="15" t="s">
        <v>933</v>
      </c>
      <c r="X53" s="15" t="s">
        <v>1358</v>
      </c>
      <c r="Y53" s="7" t="s">
        <v>340</v>
      </c>
      <c r="Z53" s="7" t="s">
        <v>340</v>
      </c>
      <c r="AA53" s="7" t="s">
        <v>340</v>
      </c>
      <c r="AB53" s="7" t="s">
        <v>340</v>
      </c>
      <c r="AC53" s="7">
        <v>14120</v>
      </c>
      <c r="AD53" s="7">
        <v>710</v>
      </c>
      <c r="AE53" s="7">
        <v>14037</v>
      </c>
      <c r="AF53" s="7">
        <v>156</v>
      </c>
      <c r="AG53" s="7" t="s">
        <v>340</v>
      </c>
      <c r="AH53" s="5">
        <v>1</v>
      </c>
      <c r="AI53" s="5">
        <v>1</v>
      </c>
      <c r="AJ53" s="9">
        <f>IF(AND(ISNUMBER(F53),ISNUMBER(G53),ISNUMBER(K53),ISNUMBER(L53)),ACOS(MIN(1,COS(RADIANS(90-F53))*COS(RADIANS(90-K53))+SIN(RADIANS(90-F53))*SIN(RADIANS(90-K53))*COS(RADIANS(G53-L53))))*6371,"N/A")</f>
        <v>194.91856443903035</v>
      </c>
      <c r="AK53" s="10">
        <f>IF(AND(ISNUMBER(F53),ISNUMBER(G53),ISNUMBER(K53),ISNUMBER(L53)),MOD(DEGREES(ATAN2(COS(RADIANS(K53))*SIN(RADIANS(F53))-SIN(RADIANS(K53))*COS(RADIANS(F53))*COS(RADIANS(G53-L53)),SIN(RADIANS(G53-L53))*COS(RADIANS(F53))))+360,360),"N/A")</f>
        <v>24.080144339480455</v>
      </c>
      <c r="AL53" s="10" t="str">
        <f>IF(AND(ISNUMBER(F53),ISNUMBER(G53),ISNUMBER(M53),ISNUMBER(N53)),ACOS(MIN(1,COS(RADIANS(90-F53))*COS(RADIANS(90-M53))+SIN(RADIANS(90-F53))*SIN(RADIANS(90-M53))*COS(RADIANS(G53-N53))))*6371,"N/A")</f>
        <v>N/A</v>
      </c>
      <c r="AM53" s="10" t="str">
        <f>IF(AND(ISNUMBER(F53),ISNUMBER(G53),ISNUMBER(M53),ISNUMBER(N53)),MOD(DEGREES(ATAN2(COS(RADIANS(M53))*SIN(RADIANS(F53))-SIN(RADIANS(M53))*COS(RADIANS(F53))*COS(RADIANS(G53-N53)),SIN(RADIANS(G53-N53))*COS(RADIANS(F53))))+360,360),"N/A")</f>
        <v>N/A</v>
      </c>
      <c r="AN53" s="2"/>
      <c r="AO53" s="2"/>
    </row>
    <row r="54" spans="1:41" x14ac:dyDescent="0.2">
      <c r="A54" s="4" t="s">
        <v>478</v>
      </c>
      <c r="B54" s="4" t="s">
        <v>119</v>
      </c>
      <c r="C54" s="5">
        <v>605</v>
      </c>
      <c r="D54" s="4" t="s">
        <v>70</v>
      </c>
      <c r="E54" s="4" t="s">
        <v>71</v>
      </c>
      <c r="F54" s="6">
        <v>42.423400000000001</v>
      </c>
      <c r="G54" s="6">
        <v>15.107799999999999</v>
      </c>
      <c r="H54" s="7">
        <v>-146</v>
      </c>
      <c r="I54" s="4" t="s">
        <v>221</v>
      </c>
      <c r="J54" s="4" t="s">
        <v>15</v>
      </c>
      <c r="K54" s="6">
        <v>40.826999999999998</v>
      </c>
      <c r="L54" s="6">
        <v>14.138999999999999</v>
      </c>
      <c r="M54" s="5" t="s">
        <v>340</v>
      </c>
      <c r="N54" s="5" t="s">
        <v>340</v>
      </c>
      <c r="O54" s="4" t="s">
        <v>232</v>
      </c>
      <c r="P54" s="5">
        <v>6</v>
      </c>
      <c r="Q54" s="5">
        <v>9999</v>
      </c>
      <c r="R54" s="4" t="s">
        <v>41</v>
      </c>
      <c r="S54" s="4" t="s">
        <v>1121</v>
      </c>
      <c r="T54" s="7">
        <v>11860</v>
      </c>
      <c r="U54" s="7">
        <v>12096</v>
      </c>
      <c r="V54" s="7">
        <v>12396</v>
      </c>
      <c r="W54" s="15" t="s">
        <v>928</v>
      </c>
      <c r="X54" s="21" t="s">
        <v>1357</v>
      </c>
      <c r="Y54" s="7" t="s">
        <v>340</v>
      </c>
      <c r="Z54" s="7" t="s">
        <v>340</v>
      </c>
      <c r="AA54" s="7" t="s">
        <v>340</v>
      </c>
      <c r="AB54" s="7" t="s">
        <v>340</v>
      </c>
      <c r="AC54" s="7">
        <v>12180</v>
      </c>
      <c r="AD54" s="7">
        <v>610</v>
      </c>
      <c r="AE54" s="7">
        <v>12104</v>
      </c>
      <c r="AF54" s="7">
        <v>141</v>
      </c>
      <c r="AG54" s="7" t="s">
        <v>340</v>
      </c>
      <c r="AH54" s="5">
        <v>1</v>
      </c>
      <c r="AI54" s="5">
        <v>1</v>
      </c>
      <c r="AJ54" s="9">
        <f>IF(AND(ISNUMBER(F54),ISNUMBER(G54),ISNUMBER(K54),ISNUMBER(L54)),ACOS(MIN(1,COS(RADIANS(90-F54))*COS(RADIANS(90-K54))+SIN(RADIANS(90-F54))*SIN(RADIANS(90-K54))*COS(RADIANS(G54-L54))))*6371,"N/A")</f>
        <v>194.91856443903035</v>
      </c>
      <c r="AK54" s="10">
        <f>IF(AND(ISNUMBER(F54),ISNUMBER(G54),ISNUMBER(K54),ISNUMBER(L54)),MOD(DEGREES(ATAN2(COS(RADIANS(K54))*SIN(RADIANS(F54))-SIN(RADIANS(K54))*COS(RADIANS(F54))*COS(RADIANS(G54-L54)),SIN(RADIANS(G54-L54))*COS(RADIANS(F54))))+360,360),"N/A")</f>
        <v>24.080144339480455</v>
      </c>
      <c r="AL54" s="10" t="str">
        <f>IF(AND(ISNUMBER(F54),ISNUMBER(G54),ISNUMBER(M54),ISNUMBER(N54)),ACOS(MIN(1,COS(RADIANS(90-F54))*COS(RADIANS(90-M54))+SIN(RADIANS(90-F54))*SIN(RADIANS(90-M54))*COS(RADIANS(G54-N54))))*6371,"N/A")</f>
        <v>N/A</v>
      </c>
      <c r="AM54" s="10" t="str">
        <f>IF(AND(ISNUMBER(F54),ISNUMBER(G54),ISNUMBER(M54),ISNUMBER(N54)),MOD(DEGREES(ATAN2(COS(RADIANS(M54))*SIN(RADIANS(F54))-SIN(RADIANS(M54))*COS(RADIANS(F54))*COS(RADIANS(G54-N54)),SIN(RADIANS(G54-N54))*COS(RADIANS(F54))))+360,360),"N/A")</f>
        <v>N/A</v>
      </c>
      <c r="AN54" s="2"/>
      <c r="AO54" s="2"/>
    </row>
    <row r="55" spans="1:41" x14ac:dyDescent="0.2">
      <c r="A55" s="4" t="s">
        <v>466</v>
      </c>
      <c r="B55" s="4" t="s">
        <v>463</v>
      </c>
      <c r="C55" s="5">
        <v>614</v>
      </c>
      <c r="D55" s="4" t="s">
        <v>32</v>
      </c>
      <c r="E55" s="4" t="s">
        <v>43</v>
      </c>
      <c r="F55" s="6">
        <v>41.711599999999997</v>
      </c>
      <c r="G55" s="6">
        <v>12.702</v>
      </c>
      <c r="H55" s="7">
        <v>320</v>
      </c>
      <c r="I55" s="4" t="s">
        <v>465</v>
      </c>
      <c r="J55" s="4" t="s">
        <v>16</v>
      </c>
      <c r="K55" s="6">
        <v>40.820999999999998</v>
      </c>
      <c r="L55" s="6">
        <v>14.426</v>
      </c>
      <c r="M55" s="5" t="s">
        <v>340</v>
      </c>
      <c r="N55" s="5" t="s">
        <v>340</v>
      </c>
      <c r="O55" s="4" t="s">
        <v>38</v>
      </c>
      <c r="P55" s="5" t="s">
        <v>340</v>
      </c>
      <c r="Q55" s="5">
        <v>9999</v>
      </c>
      <c r="R55" s="4" t="s">
        <v>41</v>
      </c>
      <c r="S55" s="4" t="s">
        <v>1121</v>
      </c>
      <c r="T55" s="7" t="s">
        <v>920</v>
      </c>
      <c r="U55" s="7">
        <v>3839</v>
      </c>
      <c r="V55" s="7" t="s">
        <v>921</v>
      </c>
      <c r="W55" s="15" t="s">
        <v>922</v>
      </c>
      <c r="X55" s="21" t="s">
        <v>919</v>
      </c>
      <c r="Y55" s="7" t="s">
        <v>340</v>
      </c>
      <c r="Z55" s="7" t="s">
        <v>340</v>
      </c>
      <c r="AA55" s="7" t="s">
        <v>340</v>
      </c>
      <c r="AB55" s="7" t="s">
        <v>340</v>
      </c>
      <c r="AC55" s="7">
        <v>4310</v>
      </c>
      <c r="AD55" s="7">
        <v>220</v>
      </c>
      <c r="AE55" s="7">
        <v>3839</v>
      </c>
      <c r="AF55" s="7">
        <v>21</v>
      </c>
      <c r="AG55" s="7" t="s">
        <v>340</v>
      </c>
      <c r="AH55" s="5">
        <v>1</v>
      </c>
      <c r="AI55" s="5">
        <v>1</v>
      </c>
      <c r="AJ55" s="9">
        <f>IF(AND(ISNUMBER(F55),ISNUMBER(G55),ISNUMBER(K55),ISNUMBER(L55)),ACOS(MIN(1,COS(RADIANS(90-F55))*COS(RADIANS(90-K55))+SIN(RADIANS(90-F55))*SIN(RADIANS(90-K55))*COS(RADIANS(G55-L55))))*6371,"N/A")</f>
        <v>174.83521675730753</v>
      </c>
      <c r="AK55" s="10">
        <f>IF(AND(ISNUMBER(F55),ISNUMBER(G55),ISNUMBER(K55),ISNUMBER(L55)),MOD(DEGREES(ATAN2(COS(RADIANS(K55))*SIN(RADIANS(F55))-SIN(RADIANS(K55))*COS(RADIANS(F55))*COS(RADIANS(G55-L55)),SIN(RADIANS(G55-L55))*COS(RADIANS(F55))))+360,360),"N/A")</f>
        <v>305.06593652265423</v>
      </c>
      <c r="AL55" s="10" t="str">
        <f>IF(AND(ISNUMBER(F55),ISNUMBER(G55),ISNUMBER(M55),ISNUMBER(N55)),ACOS(MIN(1,COS(RADIANS(90-F55))*COS(RADIANS(90-M55))+SIN(RADIANS(90-F55))*SIN(RADIANS(90-M55))*COS(RADIANS(G55-N55))))*6371,"N/A")</f>
        <v>N/A</v>
      </c>
      <c r="AM55" s="10" t="str">
        <f>IF(AND(ISNUMBER(F55),ISNUMBER(G55),ISNUMBER(M55),ISNUMBER(N55)),MOD(DEGREES(ATAN2(COS(RADIANS(M55))*SIN(RADIANS(F55))-SIN(RADIANS(M55))*COS(RADIANS(F55))*COS(RADIANS(G55-N55)),SIN(RADIANS(G55-N55))*COS(RADIANS(F55))))+360,360),"N/A")</f>
        <v>N/A</v>
      </c>
      <c r="AN55" s="2"/>
      <c r="AO55" s="2"/>
    </row>
    <row r="56" spans="1:41" x14ac:dyDescent="0.2">
      <c r="A56" s="4" t="s">
        <v>437</v>
      </c>
      <c r="B56" s="4" t="s">
        <v>36</v>
      </c>
      <c r="C56" s="5">
        <v>612</v>
      </c>
      <c r="D56" s="4" t="s">
        <v>32</v>
      </c>
      <c r="E56" s="4" t="s">
        <v>37</v>
      </c>
      <c r="F56" s="6">
        <v>41.747300000000003</v>
      </c>
      <c r="G56" s="6">
        <v>12.6698</v>
      </c>
      <c r="H56" s="7">
        <v>293</v>
      </c>
      <c r="I56" s="4" t="s">
        <v>983</v>
      </c>
      <c r="J56" s="4" t="s">
        <v>16</v>
      </c>
      <c r="K56" s="6">
        <v>40.820999999999998</v>
      </c>
      <c r="L56" s="6">
        <v>14.426</v>
      </c>
      <c r="M56" s="5" t="s">
        <v>340</v>
      </c>
      <c r="N56" s="5" t="s">
        <v>340</v>
      </c>
      <c r="O56" s="4" t="s">
        <v>38</v>
      </c>
      <c r="P56" s="5" t="s">
        <v>340</v>
      </c>
      <c r="Q56" s="5">
        <v>9999</v>
      </c>
      <c r="R56" s="4" t="s">
        <v>41</v>
      </c>
      <c r="S56" s="4" t="s">
        <v>464</v>
      </c>
      <c r="T56" s="7" t="s">
        <v>920</v>
      </c>
      <c r="U56" s="7">
        <v>3839</v>
      </c>
      <c r="V56" s="7" t="s">
        <v>921</v>
      </c>
      <c r="W56" s="15" t="s">
        <v>922</v>
      </c>
      <c r="X56" s="21" t="s">
        <v>919</v>
      </c>
      <c r="Y56" s="7" t="s">
        <v>340</v>
      </c>
      <c r="Z56" s="7" t="s">
        <v>340</v>
      </c>
      <c r="AA56" s="7" t="s">
        <v>340</v>
      </c>
      <c r="AB56" s="7" t="s">
        <v>340</v>
      </c>
      <c r="AC56" s="7">
        <v>4310</v>
      </c>
      <c r="AD56" s="7">
        <v>220</v>
      </c>
      <c r="AE56" s="7">
        <v>3839</v>
      </c>
      <c r="AF56" s="7">
        <v>21</v>
      </c>
      <c r="AG56" s="7" t="s">
        <v>340</v>
      </c>
      <c r="AH56" s="5">
        <v>1</v>
      </c>
      <c r="AI56" s="5">
        <v>1</v>
      </c>
      <c r="AJ56" s="9">
        <f>IF(AND(ISNUMBER(F56),ISNUMBER(G56),ISNUMBER(K56),ISNUMBER(L56)),ACOS(MIN(1,COS(RADIANS(90-F56))*COS(RADIANS(90-K56))+SIN(RADIANS(90-F56))*SIN(RADIANS(90-K56))*COS(RADIANS(G56-L56))))*6371,"N/A")</f>
        <v>179.27678107868209</v>
      </c>
      <c r="AK56" s="10">
        <f>IF(AND(ISNUMBER(F56),ISNUMBER(G56),ISNUMBER(K56),ISNUMBER(L56)),MOD(DEGREES(ATAN2(COS(RADIANS(K56))*SIN(RADIANS(F56))-SIN(RADIANS(K56))*COS(RADIANS(F56))*COS(RADIANS(G56-L56)),SIN(RADIANS(G56-L56))*COS(RADIANS(F56))))+360,360),"N/A")</f>
        <v>305.64228862957845</v>
      </c>
      <c r="AL56" s="10" t="str">
        <f>IF(AND(ISNUMBER(F56),ISNUMBER(G56),ISNUMBER(M56),ISNUMBER(N56)),ACOS(MIN(1,COS(RADIANS(90-F56))*COS(RADIANS(90-M56))+SIN(RADIANS(90-F56))*SIN(RADIANS(90-M56))*COS(RADIANS(G56-N56))))*6371,"N/A")</f>
        <v>N/A</v>
      </c>
      <c r="AM56" s="10" t="str">
        <f>IF(AND(ISNUMBER(F56),ISNUMBER(G56),ISNUMBER(M56),ISNUMBER(N56)),MOD(DEGREES(ATAN2(COS(RADIANS(M56))*SIN(RADIANS(F56))-SIN(RADIANS(M56))*COS(RADIANS(F56))*COS(RADIANS(G56-N56)),SIN(RADIANS(G56-N56))*COS(RADIANS(F56))))+360,360),"N/A")</f>
        <v>N/A</v>
      </c>
      <c r="AN56" s="2"/>
      <c r="AO56" s="2"/>
    </row>
    <row r="57" spans="1:41" x14ac:dyDescent="0.2">
      <c r="A57" s="4" t="s">
        <v>436</v>
      </c>
      <c r="B57" s="4" t="s">
        <v>36</v>
      </c>
      <c r="C57" s="5">
        <v>612</v>
      </c>
      <c r="D57" s="4" t="s">
        <v>32</v>
      </c>
      <c r="E57" s="4" t="s">
        <v>37</v>
      </c>
      <c r="F57" s="6">
        <v>41.747300000000003</v>
      </c>
      <c r="G57" s="6">
        <v>12.6698</v>
      </c>
      <c r="H57" s="7">
        <v>293</v>
      </c>
      <c r="I57" s="4" t="s">
        <v>983</v>
      </c>
      <c r="J57" s="4" t="s">
        <v>42</v>
      </c>
      <c r="K57" s="6">
        <v>37.747999999999998</v>
      </c>
      <c r="L57" s="6">
        <v>14.999000000000001</v>
      </c>
      <c r="M57" s="5" t="s">
        <v>340</v>
      </c>
      <c r="N57" s="5" t="s">
        <v>340</v>
      </c>
      <c r="O57" s="4" t="s">
        <v>1070</v>
      </c>
      <c r="P57" s="5" t="s">
        <v>340</v>
      </c>
      <c r="Q57" s="5">
        <v>9999</v>
      </c>
      <c r="R57" s="4" t="s">
        <v>41</v>
      </c>
      <c r="S57" s="4" t="s">
        <v>1123</v>
      </c>
      <c r="T57" s="7">
        <v>17048</v>
      </c>
      <c r="U57" s="7">
        <f>AVERAGE(T57,V57)</f>
        <v>17658.5</v>
      </c>
      <c r="V57" s="7">
        <v>18269</v>
      </c>
      <c r="W57" s="15" t="s">
        <v>1093</v>
      </c>
      <c r="X57" s="15" t="s">
        <v>1358</v>
      </c>
      <c r="Y57" s="7" t="s">
        <v>340</v>
      </c>
      <c r="Z57" s="7" t="s">
        <v>340</v>
      </c>
      <c r="AA57" s="7" t="s">
        <v>340</v>
      </c>
      <c r="AB57" s="7" t="s">
        <v>340</v>
      </c>
      <c r="AC57" s="7" t="s">
        <v>340</v>
      </c>
      <c r="AD57" s="7" t="s">
        <v>340</v>
      </c>
      <c r="AE57" s="7">
        <v>17658.5</v>
      </c>
      <c r="AF57" s="7">
        <v>610.5</v>
      </c>
      <c r="AG57" s="7" t="s">
        <v>340</v>
      </c>
      <c r="AH57" s="5">
        <v>1</v>
      </c>
      <c r="AI57" s="5">
        <v>1</v>
      </c>
      <c r="AJ57" s="9">
        <f>IF(AND(ISNUMBER(F57),ISNUMBER(G57),ISNUMBER(K57),ISNUMBER(L57)),ACOS(MIN(1,COS(RADIANS(90-F57))*COS(RADIANS(90-K57))+SIN(RADIANS(90-F57))*SIN(RADIANS(90-K57))*COS(RADIANS(G57-L57))))*6371,"N/A")</f>
        <v>487.19812618594614</v>
      </c>
      <c r="AK57" s="10">
        <f>IF(AND(ISNUMBER(F57),ISNUMBER(G57),ISNUMBER(K57),ISNUMBER(L57)),MOD(DEGREES(ATAN2(COS(RADIANS(K57))*SIN(RADIANS(F57))-SIN(RADIANS(K57))*COS(RADIANS(F57))*COS(RADIANS(G57-L57)),SIN(RADIANS(G57-L57))*COS(RADIANS(F57))))+360,360),"N/A")</f>
        <v>336.61551624283783</v>
      </c>
      <c r="AL57" s="10" t="str">
        <f>IF(AND(ISNUMBER(F57),ISNUMBER(G57),ISNUMBER(M57),ISNUMBER(N57)),ACOS(MIN(1,COS(RADIANS(90-F57))*COS(RADIANS(90-M57))+SIN(RADIANS(90-F57))*SIN(RADIANS(90-M57))*COS(RADIANS(G57-N57))))*6371,"N/A")</f>
        <v>N/A</v>
      </c>
      <c r="AM57" s="10" t="str">
        <f>IF(AND(ISNUMBER(F57),ISNUMBER(G57),ISNUMBER(M57),ISNUMBER(N57)),MOD(DEGREES(ATAN2(COS(RADIANS(M57))*SIN(RADIANS(F57))-SIN(RADIANS(M57))*COS(RADIANS(F57))*COS(RADIANS(G57-N57)),SIN(RADIANS(G57-N57))*COS(RADIANS(F57))))+360,360),"N/A")</f>
        <v>N/A</v>
      </c>
      <c r="AN57" s="2"/>
      <c r="AO57" s="2"/>
    </row>
    <row r="58" spans="1:41" x14ac:dyDescent="0.2">
      <c r="A58" s="4" t="s">
        <v>380</v>
      </c>
      <c r="B58" s="4" t="s">
        <v>94</v>
      </c>
      <c r="C58" s="5">
        <v>591</v>
      </c>
      <c r="D58" s="4" t="s">
        <v>70</v>
      </c>
      <c r="E58" s="4" t="s">
        <v>71</v>
      </c>
      <c r="F58" s="6">
        <v>42.185000000000002</v>
      </c>
      <c r="G58" s="6">
        <v>14.925000000000001</v>
      </c>
      <c r="H58" s="7">
        <v>-252</v>
      </c>
      <c r="I58" s="4" t="s">
        <v>215</v>
      </c>
      <c r="J58" s="4" t="s">
        <v>15</v>
      </c>
      <c r="K58" s="6">
        <v>40.826999999999998</v>
      </c>
      <c r="L58" s="6">
        <v>14.138999999999999</v>
      </c>
      <c r="M58" s="5" t="s">
        <v>340</v>
      </c>
      <c r="N58" s="5" t="s">
        <v>340</v>
      </c>
      <c r="O58" s="4" t="s">
        <v>199</v>
      </c>
      <c r="P58" s="5" t="s">
        <v>340</v>
      </c>
      <c r="Q58" s="5">
        <v>9999</v>
      </c>
      <c r="R58" s="4" t="s">
        <v>978</v>
      </c>
      <c r="S58" s="4" t="s">
        <v>1122</v>
      </c>
      <c r="T58" s="7">
        <v>4483</v>
      </c>
      <c r="U58" s="7">
        <v>4540</v>
      </c>
      <c r="V58" s="7">
        <v>4627</v>
      </c>
      <c r="W58" s="15" t="s">
        <v>928</v>
      </c>
      <c r="X58" s="21" t="s">
        <v>1357</v>
      </c>
      <c r="Y58" s="7" t="s">
        <v>340</v>
      </c>
      <c r="Z58" s="7" t="s">
        <v>340</v>
      </c>
      <c r="AA58" s="7" t="s">
        <v>340</v>
      </c>
      <c r="AB58" s="7" t="s">
        <v>340</v>
      </c>
      <c r="AC58" s="7">
        <v>5390</v>
      </c>
      <c r="AD58" s="7">
        <v>270</v>
      </c>
      <c r="AE58" s="7">
        <v>4546</v>
      </c>
      <c r="AF58" s="7">
        <v>36</v>
      </c>
      <c r="AG58" s="7" t="s">
        <v>340</v>
      </c>
      <c r="AH58" s="5">
        <v>1</v>
      </c>
      <c r="AI58" s="5">
        <v>1</v>
      </c>
      <c r="AJ58" s="9">
        <f>IF(AND(ISNUMBER(F58),ISNUMBER(G58),ISNUMBER(K58),ISNUMBER(L58)),ACOS(MIN(1,COS(RADIANS(90-F58))*COS(RADIANS(90-K58))+SIN(RADIANS(90-F58))*SIN(RADIANS(90-K58))*COS(RADIANS(G58-L58))))*6371,"N/A")</f>
        <v>164.57548868086727</v>
      </c>
      <c r="AK58" s="10">
        <f>IF(AND(ISNUMBER(F58),ISNUMBER(G58),ISNUMBER(K58),ISNUMBER(L58)),MOD(DEGREES(ATAN2(COS(RADIANS(K58))*SIN(RADIANS(F58))-SIN(RADIANS(K58))*COS(RADIANS(F58))*COS(RADIANS(G58-L58)),SIN(RADIANS(G58-L58))*COS(RADIANS(F58))))+360,360),"N/A")</f>
        <v>23.174660618726762</v>
      </c>
      <c r="AL58" s="10" t="str">
        <f>IF(AND(ISNUMBER(F58),ISNUMBER(G58),ISNUMBER(M58),ISNUMBER(N58)),ACOS(MIN(1,COS(RADIANS(90-F58))*COS(RADIANS(90-M58))+SIN(RADIANS(90-F58))*SIN(RADIANS(90-M58))*COS(RADIANS(G58-N58))))*6371,"N/A")</f>
        <v>N/A</v>
      </c>
      <c r="AM58" s="10" t="str">
        <f>IF(AND(ISNUMBER(F58),ISNUMBER(G58),ISNUMBER(M58),ISNUMBER(N58)),MOD(DEGREES(ATAN2(COS(RADIANS(M58))*SIN(RADIANS(F58))-SIN(RADIANS(M58))*COS(RADIANS(F58))*COS(RADIANS(G58-N58)),SIN(RADIANS(G58-N58))*COS(RADIANS(F58))))+360,360),"N/A")</f>
        <v>N/A</v>
      </c>
      <c r="AN58" s="2"/>
      <c r="AO58" s="2"/>
    </row>
    <row r="59" spans="1:41" x14ac:dyDescent="0.2">
      <c r="A59" s="4" t="s">
        <v>381</v>
      </c>
      <c r="B59" s="4" t="s">
        <v>95</v>
      </c>
      <c r="C59" s="5">
        <v>592</v>
      </c>
      <c r="D59" s="4" t="s">
        <v>70</v>
      </c>
      <c r="E59" s="4" t="s">
        <v>71</v>
      </c>
      <c r="F59" s="6">
        <v>42.383299999999998</v>
      </c>
      <c r="G59" s="6">
        <v>15</v>
      </c>
      <c r="H59" s="7">
        <v>-129</v>
      </c>
      <c r="I59" s="4" t="s">
        <v>215</v>
      </c>
      <c r="J59" s="4" t="s">
        <v>15</v>
      </c>
      <c r="K59" s="6">
        <v>40.826999999999998</v>
      </c>
      <c r="L59" s="6">
        <v>14.138999999999999</v>
      </c>
      <c r="M59" s="5" t="s">
        <v>340</v>
      </c>
      <c r="N59" s="5" t="s">
        <v>340</v>
      </c>
      <c r="O59" s="4" t="s">
        <v>199</v>
      </c>
      <c r="P59" s="5">
        <v>20</v>
      </c>
      <c r="Q59" s="5">
        <v>9999</v>
      </c>
      <c r="R59" s="4" t="s">
        <v>978</v>
      </c>
      <c r="S59" s="4" t="s">
        <v>1122</v>
      </c>
      <c r="T59" s="7">
        <v>4483</v>
      </c>
      <c r="U59" s="7">
        <v>4540</v>
      </c>
      <c r="V59" s="7">
        <v>4627</v>
      </c>
      <c r="W59" s="15" t="s">
        <v>928</v>
      </c>
      <c r="X59" s="21" t="s">
        <v>1357</v>
      </c>
      <c r="Y59" s="7" t="s">
        <v>340</v>
      </c>
      <c r="Z59" s="7" t="s">
        <v>340</v>
      </c>
      <c r="AA59" s="7" t="s">
        <v>340</v>
      </c>
      <c r="AB59" s="7" t="s">
        <v>340</v>
      </c>
      <c r="AC59" s="7">
        <v>5390</v>
      </c>
      <c r="AD59" s="7">
        <v>270</v>
      </c>
      <c r="AE59" s="7">
        <v>4546</v>
      </c>
      <c r="AF59" s="7">
        <v>36</v>
      </c>
      <c r="AG59" s="7" t="s">
        <v>340</v>
      </c>
      <c r="AH59" s="5">
        <v>1</v>
      </c>
      <c r="AI59" s="5">
        <v>1</v>
      </c>
      <c r="AJ59" s="9">
        <f>IF(AND(ISNUMBER(F59),ISNUMBER(G59),ISNUMBER(K59),ISNUMBER(L59)),ACOS(MIN(1,COS(RADIANS(90-F59))*COS(RADIANS(90-K59))+SIN(RADIANS(90-F59))*SIN(RADIANS(90-K59))*COS(RADIANS(G59-L59))))*6371,"N/A")</f>
        <v>187.27227861676158</v>
      </c>
      <c r="AK59" s="10">
        <f>IF(AND(ISNUMBER(F59),ISNUMBER(G59),ISNUMBER(K59),ISNUMBER(L59)),MOD(DEGREES(ATAN2(COS(RADIANS(K59))*SIN(RADIANS(F59))-SIN(RADIANS(K59))*COS(RADIANS(F59))*COS(RADIANS(G59-L59)),SIN(RADIANS(G59-L59))*COS(RADIANS(F59))))+360,360),"N/A")</f>
        <v>22.188792703112881</v>
      </c>
      <c r="AL59" s="10" t="str">
        <f>IF(AND(ISNUMBER(F59),ISNUMBER(G59),ISNUMBER(M59),ISNUMBER(N59)),ACOS(MIN(1,COS(RADIANS(90-F59))*COS(RADIANS(90-M59))+SIN(RADIANS(90-F59))*SIN(RADIANS(90-M59))*COS(RADIANS(G59-N59))))*6371,"N/A")</f>
        <v>N/A</v>
      </c>
      <c r="AM59" s="10" t="str">
        <f>IF(AND(ISNUMBER(F59),ISNUMBER(G59),ISNUMBER(M59),ISNUMBER(N59)),MOD(DEGREES(ATAN2(COS(RADIANS(M59))*SIN(RADIANS(F59))-SIN(RADIANS(M59))*COS(RADIANS(F59))*COS(RADIANS(G59-N59)),SIN(RADIANS(G59-N59))*COS(RADIANS(F59))))+360,360),"N/A")</f>
        <v>N/A</v>
      </c>
      <c r="AN59" s="2"/>
      <c r="AO59" s="2"/>
    </row>
    <row r="60" spans="1:41" x14ac:dyDescent="0.2">
      <c r="A60" s="4" t="s">
        <v>379</v>
      </c>
      <c r="B60" s="4" t="s">
        <v>94</v>
      </c>
      <c r="C60" s="5">
        <v>591</v>
      </c>
      <c r="D60" s="4" t="s">
        <v>70</v>
      </c>
      <c r="E60" s="4" t="s">
        <v>71</v>
      </c>
      <c r="F60" s="6">
        <v>42.185000000000002</v>
      </c>
      <c r="G60" s="6">
        <v>14.925000000000001</v>
      </c>
      <c r="H60" s="7">
        <v>-252</v>
      </c>
      <c r="I60" s="4" t="s">
        <v>215</v>
      </c>
      <c r="J60" s="4" t="s">
        <v>15</v>
      </c>
      <c r="K60" s="6">
        <v>40.826999999999998</v>
      </c>
      <c r="L60" s="6">
        <v>14.138999999999999</v>
      </c>
      <c r="M60" s="5" t="s">
        <v>340</v>
      </c>
      <c r="N60" s="5" t="s">
        <v>340</v>
      </c>
      <c r="O60" s="4" t="s">
        <v>20</v>
      </c>
      <c r="P60" s="5" t="s">
        <v>340</v>
      </c>
      <c r="Q60" s="5">
        <v>9999</v>
      </c>
      <c r="R60" s="4" t="s">
        <v>978</v>
      </c>
      <c r="S60" s="4" t="s">
        <v>1122</v>
      </c>
      <c r="T60" s="7">
        <v>13761</v>
      </c>
      <c r="U60" s="7">
        <v>14029</v>
      </c>
      <c r="V60" s="7">
        <v>14356</v>
      </c>
      <c r="W60" s="15" t="s">
        <v>933</v>
      </c>
      <c r="X60" s="15" t="s">
        <v>1358</v>
      </c>
      <c r="Y60" s="7" t="s">
        <v>340</v>
      </c>
      <c r="Z60" s="7" t="s">
        <v>340</v>
      </c>
      <c r="AA60" s="7" t="s">
        <v>340</v>
      </c>
      <c r="AB60" s="7" t="s">
        <v>340</v>
      </c>
      <c r="AC60" s="7">
        <v>14120</v>
      </c>
      <c r="AD60" s="7">
        <v>710</v>
      </c>
      <c r="AE60" s="7">
        <v>14037</v>
      </c>
      <c r="AF60" s="7">
        <v>156</v>
      </c>
      <c r="AG60" s="7" t="s">
        <v>340</v>
      </c>
      <c r="AH60" s="5">
        <v>1</v>
      </c>
      <c r="AI60" s="5">
        <v>1</v>
      </c>
      <c r="AJ60" s="9">
        <f>IF(AND(ISNUMBER(F60),ISNUMBER(G60),ISNUMBER(K60),ISNUMBER(L60)),ACOS(MIN(1,COS(RADIANS(90-F60))*COS(RADIANS(90-K60))+SIN(RADIANS(90-F60))*SIN(RADIANS(90-K60))*COS(RADIANS(G60-L60))))*6371,"N/A")</f>
        <v>164.57548868086727</v>
      </c>
      <c r="AK60" s="10">
        <f>IF(AND(ISNUMBER(F60),ISNUMBER(G60),ISNUMBER(K60),ISNUMBER(L60)),MOD(DEGREES(ATAN2(COS(RADIANS(K60))*SIN(RADIANS(F60))-SIN(RADIANS(K60))*COS(RADIANS(F60))*COS(RADIANS(G60-L60)),SIN(RADIANS(G60-L60))*COS(RADIANS(F60))))+360,360),"N/A")</f>
        <v>23.174660618726762</v>
      </c>
      <c r="AL60" s="10" t="str">
        <f>IF(AND(ISNUMBER(F60),ISNUMBER(G60),ISNUMBER(M60),ISNUMBER(N60)),ACOS(MIN(1,COS(RADIANS(90-F60))*COS(RADIANS(90-M60))+SIN(RADIANS(90-F60))*SIN(RADIANS(90-M60))*COS(RADIANS(G60-N60))))*6371,"N/A")</f>
        <v>N/A</v>
      </c>
      <c r="AM60" s="10" t="str">
        <f>IF(AND(ISNUMBER(F60),ISNUMBER(G60),ISNUMBER(M60),ISNUMBER(N60)),MOD(DEGREES(ATAN2(COS(RADIANS(M60))*SIN(RADIANS(F60))-SIN(RADIANS(M60))*COS(RADIANS(F60))*COS(RADIANS(G60-N60)),SIN(RADIANS(G60-N60))*COS(RADIANS(F60))))+360,360),"N/A")</f>
        <v>N/A</v>
      </c>
      <c r="AN60" s="2"/>
      <c r="AO60" s="2"/>
    </row>
    <row r="61" spans="1:41" x14ac:dyDescent="0.2">
      <c r="A61" s="4" t="s">
        <v>617</v>
      </c>
      <c r="B61" s="4" t="s">
        <v>620</v>
      </c>
      <c r="C61" s="5">
        <v>952</v>
      </c>
      <c r="D61" s="4" t="s">
        <v>621</v>
      </c>
      <c r="E61" s="8" t="s">
        <v>619</v>
      </c>
      <c r="F61" s="6">
        <v>40.916699999999999</v>
      </c>
      <c r="G61" s="6">
        <v>20.671600000000002</v>
      </c>
      <c r="H61" s="7">
        <v>705</v>
      </c>
      <c r="I61" s="4" t="s">
        <v>625</v>
      </c>
      <c r="J61" s="4" t="s">
        <v>42</v>
      </c>
      <c r="K61" s="6">
        <v>37.747999999999998</v>
      </c>
      <c r="L61" s="6">
        <v>14.999000000000001</v>
      </c>
      <c r="M61" s="5" t="s">
        <v>340</v>
      </c>
      <c r="N61" s="5" t="s">
        <v>340</v>
      </c>
      <c r="O61" s="4" t="s">
        <v>424</v>
      </c>
      <c r="P61" s="5">
        <v>11</v>
      </c>
      <c r="Q61" s="5" t="s">
        <v>340</v>
      </c>
      <c r="R61" s="4" t="s">
        <v>184</v>
      </c>
      <c r="S61" s="4" t="s">
        <v>1121</v>
      </c>
      <c r="T61" s="7">
        <v>3213</v>
      </c>
      <c r="U61" s="7">
        <v>3368</v>
      </c>
      <c r="V61" s="7">
        <v>3481</v>
      </c>
      <c r="W61" s="15" t="s">
        <v>909</v>
      </c>
      <c r="X61" s="15" t="s">
        <v>1367</v>
      </c>
      <c r="Y61" s="7">
        <v>3150</v>
      </c>
      <c r="Z61" s="7">
        <v>60</v>
      </c>
      <c r="AA61" s="7" t="s">
        <v>340</v>
      </c>
      <c r="AB61" s="7" t="s">
        <v>340</v>
      </c>
      <c r="AC61" s="7" t="s">
        <v>340</v>
      </c>
      <c r="AD61" s="7" t="s">
        <v>340</v>
      </c>
      <c r="AE61" s="7" t="s">
        <v>340</v>
      </c>
      <c r="AF61" s="7" t="s">
        <v>340</v>
      </c>
      <c r="AG61" s="7" t="s">
        <v>340</v>
      </c>
      <c r="AH61" s="5">
        <v>1</v>
      </c>
      <c r="AI61" s="5">
        <v>1</v>
      </c>
      <c r="AJ61" s="9">
        <f>IF(AND(ISNUMBER(F61),ISNUMBER(G61),ISNUMBER(K61),ISNUMBER(L61)),ACOS(MIN(1,COS(RADIANS(90-F61))*COS(RADIANS(90-K61))+SIN(RADIANS(90-F61))*SIN(RADIANS(90-K61))*COS(RADIANS(G61-L61))))*6371,"N/A")</f>
        <v>601.59513671861941</v>
      </c>
      <c r="AK61" s="10">
        <f>IF(AND(ISNUMBER(F61),ISNUMBER(G61),ISNUMBER(K61),ISNUMBER(L61)),MOD(DEGREES(ATAN2(COS(RADIANS(K61))*SIN(RADIANS(F61))-SIN(RADIANS(K61))*COS(RADIANS(F61))*COS(RADIANS(G61-L61)),SIN(RADIANS(G61-L61))*COS(RADIANS(F61))))+360,360),"N/A")</f>
        <v>52.390172242978338</v>
      </c>
      <c r="AL61" s="10" t="str">
        <f>IF(AND(ISNUMBER(F61),ISNUMBER(G61),ISNUMBER(M61),ISNUMBER(N61)),ACOS(MIN(1,COS(RADIANS(90-F61))*COS(RADIANS(90-M61))+SIN(RADIANS(90-F61))*SIN(RADIANS(90-M61))*COS(RADIANS(G61-N61))))*6371,"N/A")</f>
        <v>N/A</v>
      </c>
      <c r="AM61" s="10" t="str">
        <f>IF(AND(ISNUMBER(F61),ISNUMBER(G61),ISNUMBER(M61),ISNUMBER(N61)),MOD(DEGREES(ATAN2(COS(RADIANS(M61))*SIN(RADIANS(F61))-SIN(RADIANS(M61))*COS(RADIANS(F61))*COS(RADIANS(G61-N61)),SIN(RADIANS(G61-N61))*COS(RADIANS(F61))))+360,360),"N/A")</f>
        <v>N/A</v>
      </c>
      <c r="AN61" s="2"/>
      <c r="AO61" s="2"/>
    </row>
    <row r="62" spans="1:41" x14ac:dyDescent="0.2">
      <c r="A62" s="4" t="s">
        <v>861</v>
      </c>
      <c r="B62" s="4" t="s">
        <v>858</v>
      </c>
      <c r="C62" s="5" t="s">
        <v>340</v>
      </c>
      <c r="D62" s="4" t="s">
        <v>70</v>
      </c>
      <c r="E62" s="4" t="s">
        <v>101</v>
      </c>
      <c r="F62" s="6">
        <v>39.594000000000001</v>
      </c>
      <c r="G62" s="6">
        <v>18.083452000000001</v>
      </c>
      <c r="H62" s="7">
        <v>-695</v>
      </c>
      <c r="I62" s="4" t="s">
        <v>503</v>
      </c>
      <c r="J62" s="4" t="s">
        <v>53</v>
      </c>
      <c r="K62" s="6">
        <v>38.49</v>
      </c>
      <c r="L62" s="6">
        <v>14.933</v>
      </c>
      <c r="M62" s="5" t="s">
        <v>340</v>
      </c>
      <c r="N62" s="5" t="s">
        <v>340</v>
      </c>
      <c r="O62" s="4" t="s">
        <v>444</v>
      </c>
      <c r="P62" s="5" t="s">
        <v>340</v>
      </c>
      <c r="Q62" s="5" t="s">
        <v>340</v>
      </c>
      <c r="R62" s="4" t="s">
        <v>184</v>
      </c>
      <c r="S62" s="4" t="s">
        <v>1121</v>
      </c>
      <c r="T62" s="7">
        <v>7839</v>
      </c>
      <c r="U62" s="7">
        <v>8064</v>
      </c>
      <c r="V62" s="7">
        <v>8288</v>
      </c>
      <c r="W62" s="15" t="s">
        <v>1347</v>
      </c>
      <c r="X62" s="15" t="s">
        <v>1363</v>
      </c>
      <c r="Y62" s="7">
        <v>7770</v>
      </c>
      <c r="Z62" s="7">
        <v>70</v>
      </c>
      <c r="AA62" s="7" t="s">
        <v>340</v>
      </c>
      <c r="AB62" s="7" t="s">
        <v>340</v>
      </c>
      <c r="AC62" s="7" t="s">
        <v>340</v>
      </c>
      <c r="AD62" s="7" t="s">
        <v>340</v>
      </c>
      <c r="AE62" s="7" t="s">
        <v>340</v>
      </c>
      <c r="AF62" s="7" t="s">
        <v>340</v>
      </c>
      <c r="AG62" s="7" t="s">
        <v>340</v>
      </c>
      <c r="AH62" s="5">
        <v>1</v>
      </c>
      <c r="AI62" s="5">
        <v>1</v>
      </c>
      <c r="AJ62" s="9">
        <f>IF(AND(ISNUMBER(F62),ISNUMBER(G62),ISNUMBER(K62),ISNUMBER(L62)),ACOS(MIN(1,COS(RADIANS(90-F62))*COS(RADIANS(90-K62))+SIN(RADIANS(90-F62))*SIN(RADIANS(90-K62))*COS(RADIANS(G62-L62))))*6371,"N/A")</f>
        <v>298.47130729065719</v>
      </c>
      <c r="AK62" s="10">
        <f>IF(AND(ISNUMBER(F62),ISNUMBER(G62),ISNUMBER(K62),ISNUMBER(L62)),MOD(DEGREES(ATAN2(COS(RADIANS(K62))*SIN(RADIANS(F62))-SIN(RADIANS(K62))*COS(RADIANS(F62))*COS(RADIANS(G62-L62)),SIN(RADIANS(G62-L62))*COS(RADIANS(F62))))+360,360),"N/A")</f>
        <v>64.729297055116092</v>
      </c>
      <c r="AL62" s="10" t="str">
        <f>IF(AND(ISNUMBER(F62),ISNUMBER(G62),ISNUMBER(M62),ISNUMBER(N62)),ACOS(MIN(1,COS(RADIANS(90-F62))*COS(RADIANS(90-M62))+SIN(RADIANS(90-F62))*SIN(RADIANS(90-M62))*COS(RADIANS(G62-N62))))*6371,"N/A")</f>
        <v>N/A</v>
      </c>
      <c r="AM62" s="10" t="str">
        <f>IF(AND(ISNUMBER(F62),ISNUMBER(G62),ISNUMBER(M62),ISNUMBER(N62)),MOD(DEGREES(ATAN2(COS(RADIANS(M62))*SIN(RADIANS(F62))-SIN(RADIANS(M62))*COS(RADIANS(F62))*COS(RADIANS(G62-N62)),SIN(RADIANS(G62-N62))*COS(RADIANS(F62))))+360,360),"N/A")</f>
        <v>N/A</v>
      </c>
      <c r="AN62" s="2"/>
      <c r="AO62" s="2"/>
    </row>
    <row r="63" spans="1:41" x14ac:dyDescent="0.2">
      <c r="A63" s="4" t="s">
        <v>859</v>
      </c>
      <c r="B63" s="4" t="s">
        <v>858</v>
      </c>
      <c r="C63" s="5" t="s">
        <v>340</v>
      </c>
      <c r="D63" s="4" t="s">
        <v>70</v>
      </c>
      <c r="E63" s="4" t="s">
        <v>101</v>
      </c>
      <c r="F63" s="6">
        <v>39.594000000000001</v>
      </c>
      <c r="G63" s="6">
        <v>18.083452000000001</v>
      </c>
      <c r="H63" s="7">
        <v>-695</v>
      </c>
      <c r="I63" s="4" t="s">
        <v>503</v>
      </c>
      <c r="J63" s="4" t="s">
        <v>53</v>
      </c>
      <c r="K63" s="6">
        <v>38.49</v>
      </c>
      <c r="L63" s="6">
        <v>14.933</v>
      </c>
      <c r="M63" s="5" t="s">
        <v>340</v>
      </c>
      <c r="N63" s="5" t="s">
        <v>340</v>
      </c>
      <c r="O63" s="4" t="s">
        <v>864</v>
      </c>
      <c r="P63" s="5" t="s">
        <v>340</v>
      </c>
      <c r="Q63" s="5" t="s">
        <v>340</v>
      </c>
      <c r="R63" s="4" t="s">
        <v>184</v>
      </c>
      <c r="S63" s="4" t="s">
        <v>1121</v>
      </c>
      <c r="T63" s="7">
        <v>1070</v>
      </c>
      <c r="U63" s="7">
        <v>1173</v>
      </c>
      <c r="V63" s="7">
        <v>1275</v>
      </c>
      <c r="W63" s="15" t="s">
        <v>1092</v>
      </c>
      <c r="X63" s="15" t="s">
        <v>1362</v>
      </c>
      <c r="Y63" s="7" t="s">
        <v>340</v>
      </c>
      <c r="Z63" s="7" t="s">
        <v>340</v>
      </c>
      <c r="AA63" s="7" t="s">
        <v>340</v>
      </c>
      <c r="AB63" s="7" t="s">
        <v>340</v>
      </c>
      <c r="AC63" s="7" t="s">
        <v>340</v>
      </c>
      <c r="AD63" s="7" t="s">
        <v>340</v>
      </c>
      <c r="AE63" s="7" t="s">
        <v>340</v>
      </c>
      <c r="AF63" s="7" t="s">
        <v>340</v>
      </c>
      <c r="AG63" s="7" t="s">
        <v>340</v>
      </c>
      <c r="AH63" s="5">
        <v>1</v>
      </c>
      <c r="AI63" s="5">
        <v>1</v>
      </c>
      <c r="AJ63" s="9">
        <f>IF(AND(ISNUMBER(F63),ISNUMBER(G63),ISNUMBER(K63),ISNUMBER(L63)),ACOS(MIN(1,COS(RADIANS(90-F63))*COS(RADIANS(90-K63))+SIN(RADIANS(90-F63))*SIN(RADIANS(90-K63))*COS(RADIANS(G63-L63))))*6371,"N/A")</f>
        <v>298.47130729065719</v>
      </c>
      <c r="AK63" s="10">
        <f>IF(AND(ISNUMBER(F63),ISNUMBER(G63),ISNUMBER(K63),ISNUMBER(L63)),MOD(DEGREES(ATAN2(COS(RADIANS(K63))*SIN(RADIANS(F63))-SIN(RADIANS(K63))*COS(RADIANS(F63))*COS(RADIANS(G63-L63)),SIN(RADIANS(G63-L63))*COS(RADIANS(F63))))+360,360),"N/A")</f>
        <v>64.729297055116092</v>
      </c>
      <c r="AL63" s="10" t="str">
        <f>IF(AND(ISNUMBER(F63),ISNUMBER(G63),ISNUMBER(M63),ISNUMBER(N63)),ACOS(MIN(1,COS(RADIANS(90-F63))*COS(RADIANS(90-M63))+SIN(RADIANS(90-F63))*SIN(RADIANS(90-M63))*COS(RADIANS(G63-N63))))*6371,"N/A")</f>
        <v>N/A</v>
      </c>
      <c r="AM63" s="10" t="str">
        <f>IF(AND(ISNUMBER(F63),ISNUMBER(G63),ISNUMBER(M63),ISNUMBER(N63)),MOD(DEGREES(ATAN2(COS(RADIANS(M63))*SIN(RADIANS(F63))-SIN(RADIANS(M63))*COS(RADIANS(F63))*COS(RADIANS(G63-N63)),SIN(RADIANS(G63-N63))*COS(RADIANS(F63))))+360,360),"N/A")</f>
        <v>N/A</v>
      </c>
      <c r="AN63" s="2"/>
      <c r="AO63" s="2"/>
    </row>
    <row r="64" spans="1:41" x14ac:dyDescent="0.2">
      <c r="A64" s="4" t="s">
        <v>863</v>
      </c>
      <c r="B64" s="4" t="s">
        <v>858</v>
      </c>
      <c r="C64" s="5" t="s">
        <v>340</v>
      </c>
      <c r="D64" s="4" t="s">
        <v>70</v>
      </c>
      <c r="E64" s="4" t="s">
        <v>101</v>
      </c>
      <c r="F64" s="6">
        <v>39.594000000000001</v>
      </c>
      <c r="G64" s="6">
        <v>18.083452000000001</v>
      </c>
      <c r="H64" s="7">
        <v>-695</v>
      </c>
      <c r="I64" s="4" t="s">
        <v>503</v>
      </c>
      <c r="J64" s="4" t="s">
        <v>16</v>
      </c>
      <c r="K64" s="6">
        <v>40.820999999999998</v>
      </c>
      <c r="L64" s="6">
        <v>14.426</v>
      </c>
      <c r="M64" s="5" t="s">
        <v>340</v>
      </c>
      <c r="N64" s="5" t="s">
        <v>340</v>
      </c>
      <c r="O64" s="4" t="s">
        <v>865</v>
      </c>
      <c r="P64" s="5" t="s">
        <v>340</v>
      </c>
      <c r="Q64" s="5" t="s">
        <v>340</v>
      </c>
      <c r="R64" s="4" t="s">
        <v>184</v>
      </c>
      <c r="S64" s="4" t="s">
        <v>1121</v>
      </c>
      <c r="T64" s="12">
        <v>8723</v>
      </c>
      <c r="U64" s="7">
        <v>8866</v>
      </c>
      <c r="V64" s="12">
        <v>9009</v>
      </c>
      <c r="W64" s="15" t="s">
        <v>1351</v>
      </c>
      <c r="X64" s="21" t="s">
        <v>1360</v>
      </c>
      <c r="Y64" s="7">
        <v>8010</v>
      </c>
      <c r="Z64" s="7">
        <v>35</v>
      </c>
      <c r="AA64" s="7" t="s">
        <v>340</v>
      </c>
      <c r="AB64" s="7" t="s">
        <v>340</v>
      </c>
      <c r="AC64" s="7">
        <v>9680</v>
      </c>
      <c r="AD64" s="7">
        <v>480</v>
      </c>
      <c r="AE64" s="7" t="s">
        <v>340</v>
      </c>
      <c r="AF64" s="7" t="s">
        <v>340</v>
      </c>
      <c r="AG64" s="7" t="s">
        <v>340</v>
      </c>
      <c r="AH64" s="5">
        <v>1</v>
      </c>
      <c r="AI64" s="5">
        <v>1</v>
      </c>
      <c r="AJ64" s="9">
        <f>IF(AND(ISNUMBER(F64),ISNUMBER(G64),ISNUMBER(K64),ISNUMBER(L64)),ACOS(MIN(1,COS(RADIANS(90-F64))*COS(RADIANS(90-K64))+SIN(RADIANS(90-F64))*SIN(RADIANS(90-K64))*COS(RADIANS(G64-L64))))*6371,"N/A")</f>
        <v>339.20225767906464</v>
      </c>
      <c r="AK64" s="10">
        <f>IF(AND(ISNUMBER(F64),ISNUMBER(G64),ISNUMBER(K64),ISNUMBER(L64)),MOD(DEGREES(ATAN2(COS(RADIANS(K64))*SIN(RADIANS(F64))-SIN(RADIANS(K64))*COS(RADIANS(F64))*COS(RADIANS(G64-L64)),SIN(RADIANS(G64-L64))*COS(RADIANS(F64))))+360,360),"N/A")</f>
        <v>112.52627017132511</v>
      </c>
      <c r="AL64" s="10" t="str">
        <f>IF(AND(ISNUMBER(F64),ISNUMBER(G64),ISNUMBER(M64),ISNUMBER(N64)),ACOS(MIN(1,COS(RADIANS(90-F64))*COS(RADIANS(90-M64))+SIN(RADIANS(90-F64))*SIN(RADIANS(90-M64))*COS(RADIANS(G64-N64))))*6371,"N/A")</f>
        <v>N/A</v>
      </c>
      <c r="AM64" s="10" t="str">
        <f>IF(AND(ISNUMBER(F64),ISNUMBER(G64),ISNUMBER(M64),ISNUMBER(N64)),MOD(DEGREES(ATAN2(COS(RADIANS(M64))*SIN(RADIANS(F64))-SIN(RADIANS(M64))*COS(RADIANS(F64))*COS(RADIANS(G64-N64)),SIN(RADIANS(G64-N64))*COS(RADIANS(F64))))+360,360),"N/A")</f>
        <v>N/A</v>
      </c>
      <c r="AN64" s="2"/>
      <c r="AO64" s="2"/>
    </row>
    <row r="65" spans="1:41" x14ac:dyDescent="0.2">
      <c r="A65" s="4" t="s">
        <v>860</v>
      </c>
      <c r="B65" s="4" t="s">
        <v>858</v>
      </c>
      <c r="C65" s="5" t="s">
        <v>340</v>
      </c>
      <c r="D65" s="4" t="s">
        <v>70</v>
      </c>
      <c r="E65" s="4" t="s">
        <v>101</v>
      </c>
      <c r="F65" s="6">
        <v>39.594000000000001</v>
      </c>
      <c r="G65" s="6">
        <v>18.083452000000001</v>
      </c>
      <c r="H65" s="7">
        <v>-695</v>
      </c>
      <c r="I65" s="4" t="s">
        <v>503</v>
      </c>
      <c r="J65" s="4" t="s">
        <v>16</v>
      </c>
      <c r="K65" s="6">
        <v>40.820999999999998</v>
      </c>
      <c r="L65" s="6">
        <v>14.426</v>
      </c>
      <c r="M65" s="5" t="s">
        <v>340</v>
      </c>
      <c r="N65" s="5" t="s">
        <v>340</v>
      </c>
      <c r="O65" s="4" t="s">
        <v>866</v>
      </c>
      <c r="P65" s="5" t="s">
        <v>340</v>
      </c>
      <c r="Q65" s="5" t="s">
        <v>340</v>
      </c>
      <c r="R65" s="4" t="s">
        <v>184</v>
      </c>
      <c r="S65" s="4" t="s">
        <v>1121</v>
      </c>
      <c r="T65" s="12">
        <v>8723</v>
      </c>
      <c r="U65" s="7">
        <v>8866</v>
      </c>
      <c r="V65" s="12">
        <v>9009</v>
      </c>
      <c r="W65" s="15" t="s">
        <v>1350</v>
      </c>
      <c r="X65" s="21" t="s">
        <v>1360</v>
      </c>
      <c r="Y65" s="7">
        <v>8010</v>
      </c>
      <c r="Z65" s="7">
        <v>35</v>
      </c>
      <c r="AA65" s="7" t="s">
        <v>340</v>
      </c>
      <c r="AB65" s="7" t="s">
        <v>340</v>
      </c>
      <c r="AC65" s="7">
        <v>9680</v>
      </c>
      <c r="AD65" s="7">
        <v>480</v>
      </c>
      <c r="AE65" s="7" t="s">
        <v>340</v>
      </c>
      <c r="AF65" s="7" t="s">
        <v>340</v>
      </c>
      <c r="AG65" s="7" t="s">
        <v>340</v>
      </c>
      <c r="AH65" s="5">
        <v>1</v>
      </c>
      <c r="AI65" s="5">
        <v>1</v>
      </c>
      <c r="AJ65" s="9">
        <f>IF(AND(ISNUMBER(F65),ISNUMBER(G65),ISNUMBER(K65),ISNUMBER(L65)),ACOS(MIN(1,COS(RADIANS(90-F65))*COS(RADIANS(90-K65))+SIN(RADIANS(90-F65))*SIN(RADIANS(90-K65))*COS(RADIANS(G65-L65))))*6371,"N/A")</f>
        <v>339.20225767906464</v>
      </c>
      <c r="AK65" s="10">
        <f>IF(AND(ISNUMBER(F65),ISNUMBER(G65),ISNUMBER(K65),ISNUMBER(L65)),MOD(DEGREES(ATAN2(COS(RADIANS(K65))*SIN(RADIANS(F65))-SIN(RADIANS(K65))*COS(RADIANS(F65))*COS(RADIANS(G65-L65)),SIN(RADIANS(G65-L65))*COS(RADIANS(F65))))+360,360),"N/A")</f>
        <v>112.52627017132511</v>
      </c>
      <c r="AL65" s="10" t="str">
        <f>IF(AND(ISNUMBER(F65),ISNUMBER(G65),ISNUMBER(M65),ISNUMBER(N65)),ACOS(MIN(1,COS(RADIANS(90-F65))*COS(RADIANS(90-M65))+SIN(RADIANS(90-F65))*SIN(RADIANS(90-M65))*COS(RADIANS(G65-N65))))*6371,"N/A")</f>
        <v>N/A</v>
      </c>
      <c r="AM65" s="10" t="str">
        <f>IF(AND(ISNUMBER(F65),ISNUMBER(G65),ISNUMBER(M65),ISNUMBER(N65)),MOD(DEGREES(ATAN2(COS(RADIANS(M65))*SIN(RADIANS(F65))-SIN(RADIANS(M65))*COS(RADIANS(F65))*COS(RADIANS(G65-N65)),SIN(RADIANS(G65-N65))*COS(RADIANS(F65))))+360,360),"N/A")</f>
        <v>N/A</v>
      </c>
      <c r="AN65" s="2"/>
      <c r="AO65" s="2"/>
    </row>
    <row r="66" spans="1:41" x14ac:dyDescent="0.2">
      <c r="A66" s="4" t="s">
        <v>862</v>
      </c>
      <c r="B66" s="4" t="s">
        <v>858</v>
      </c>
      <c r="C66" s="5" t="s">
        <v>340</v>
      </c>
      <c r="D66" s="4" t="s">
        <v>70</v>
      </c>
      <c r="E66" s="4" t="s">
        <v>101</v>
      </c>
      <c r="F66" s="6">
        <v>39.594000000000001</v>
      </c>
      <c r="G66" s="6">
        <v>18.083452000000001</v>
      </c>
      <c r="H66" s="7">
        <v>-695</v>
      </c>
      <c r="I66" s="4" t="s">
        <v>503</v>
      </c>
      <c r="J66" s="4" t="s">
        <v>16</v>
      </c>
      <c r="K66" s="6">
        <v>40.820999999999998</v>
      </c>
      <c r="L66" s="6">
        <v>14.426</v>
      </c>
      <c r="M66" s="5" t="s">
        <v>340</v>
      </c>
      <c r="N66" s="5" t="s">
        <v>340</v>
      </c>
      <c r="O66" s="4" t="s">
        <v>229</v>
      </c>
      <c r="P66" s="5" t="s">
        <v>340</v>
      </c>
      <c r="Q66" s="5" t="s">
        <v>340</v>
      </c>
      <c r="R66" s="4" t="s">
        <v>41</v>
      </c>
      <c r="S66" s="4" t="s">
        <v>1121</v>
      </c>
      <c r="T66" s="12">
        <v>8723</v>
      </c>
      <c r="U66" s="7">
        <v>8866</v>
      </c>
      <c r="V66" s="12">
        <v>9009</v>
      </c>
      <c r="W66" s="15" t="s">
        <v>1350</v>
      </c>
      <c r="X66" s="21" t="s">
        <v>1360</v>
      </c>
      <c r="Y66" s="7">
        <v>8010</v>
      </c>
      <c r="Z66" s="7">
        <v>35</v>
      </c>
      <c r="AA66" s="7" t="s">
        <v>340</v>
      </c>
      <c r="AB66" s="7" t="s">
        <v>340</v>
      </c>
      <c r="AC66" s="7">
        <v>9680</v>
      </c>
      <c r="AD66" s="7">
        <v>480</v>
      </c>
      <c r="AE66" s="7" t="s">
        <v>340</v>
      </c>
      <c r="AF66" s="7" t="s">
        <v>340</v>
      </c>
      <c r="AG66" s="7" t="s">
        <v>340</v>
      </c>
      <c r="AH66" s="5">
        <v>1</v>
      </c>
      <c r="AI66" s="5">
        <v>1</v>
      </c>
      <c r="AJ66" s="9">
        <f>IF(AND(ISNUMBER(F66),ISNUMBER(G66),ISNUMBER(K66),ISNUMBER(L66)),ACOS(MIN(1,COS(RADIANS(90-F66))*COS(RADIANS(90-K66))+SIN(RADIANS(90-F66))*SIN(RADIANS(90-K66))*COS(RADIANS(G66-L66))))*6371,"N/A")</f>
        <v>339.20225767906464</v>
      </c>
      <c r="AK66" s="10">
        <f>IF(AND(ISNUMBER(F66),ISNUMBER(G66),ISNUMBER(K66),ISNUMBER(L66)),MOD(DEGREES(ATAN2(COS(RADIANS(K66))*SIN(RADIANS(F66))-SIN(RADIANS(K66))*COS(RADIANS(F66))*COS(RADIANS(G66-L66)),SIN(RADIANS(G66-L66))*COS(RADIANS(F66))))+360,360),"N/A")</f>
        <v>112.52627017132511</v>
      </c>
      <c r="AL66" s="10" t="str">
        <f>IF(AND(ISNUMBER(F66),ISNUMBER(G66),ISNUMBER(M66),ISNUMBER(N66)),ACOS(MIN(1,COS(RADIANS(90-F66))*COS(RADIANS(90-M66))+SIN(RADIANS(90-F66))*SIN(RADIANS(90-M66))*COS(RADIANS(G66-N66))))*6371,"N/A")</f>
        <v>N/A</v>
      </c>
      <c r="AM66" s="10" t="str">
        <f>IF(AND(ISNUMBER(F66),ISNUMBER(G66),ISNUMBER(M66),ISNUMBER(N66)),MOD(DEGREES(ATAN2(COS(RADIANS(M66))*SIN(RADIANS(F66))-SIN(RADIANS(M66))*COS(RADIANS(F66))*COS(RADIANS(G66-N66)),SIN(RADIANS(G66-N66))*COS(RADIANS(F66))))+360,360),"N/A")</f>
        <v>N/A</v>
      </c>
      <c r="AN66" s="2"/>
      <c r="AO66" s="2"/>
    </row>
    <row r="67" spans="1:41" x14ac:dyDescent="0.2">
      <c r="A67" s="4" t="s">
        <v>571</v>
      </c>
      <c r="B67" s="4" t="s">
        <v>135</v>
      </c>
      <c r="C67" s="5">
        <v>923</v>
      </c>
      <c r="D67" s="4" t="s">
        <v>70</v>
      </c>
      <c r="E67" s="4" t="s">
        <v>73</v>
      </c>
      <c r="F67" s="45">
        <v>34.097000000000001</v>
      </c>
      <c r="G67" s="45">
        <v>21.361999999999998</v>
      </c>
      <c r="H67" s="7">
        <v>-3150</v>
      </c>
      <c r="I67" s="4" t="s">
        <v>227</v>
      </c>
      <c r="J67" s="4" t="s">
        <v>241</v>
      </c>
      <c r="K67" s="6">
        <v>36.404000000000003</v>
      </c>
      <c r="L67" s="6">
        <v>25.396000000000001</v>
      </c>
      <c r="M67" s="5" t="s">
        <v>340</v>
      </c>
      <c r="N67" s="5" t="s">
        <v>340</v>
      </c>
      <c r="O67" s="4" t="s">
        <v>387</v>
      </c>
      <c r="P67" s="5" t="s">
        <v>340</v>
      </c>
      <c r="Q67" s="5">
        <v>9999</v>
      </c>
      <c r="R67" s="4" t="s">
        <v>41</v>
      </c>
      <c r="S67" s="4" t="s">
        <v>1121</v>
      </c>
      <c r="T67" s="7">
        <v>3510</v>
      </c>
      <c r="U67" s="7">
        <v>3535</v>
      </c>
      <c r="V67" s="7">
        <v>3559</v>
      </c>
      <c r="W67" s="21" t="s">
        <v>935</v>
      </c>
      <c r="X67" s="21" t="s">
        <v>852</v>
      </c>
      <c r="Y67" s="7" t="s">
        <v>340</v>
      </c>
      <c r="Z67" s="7" t="s">
        <v>340</v>
      </c>
      <c r="AA67" s="7" t="s">
        <v>340</v>
      </c>
      <c r="AB67" s="7" t="s">
        <v>340</v>
      </c>
      <c r="AC67" s="7" t="s">
        <v>340</v>
      </c>
      <c r="AD67" s="7" t="s">
        <v>340</v>
      </c>
      <c r="AE67" s="7">
        <v>3535</v>
      </c>
      <c r="AF67" s="7">
        <v>25</v>
      </c>
      <c r="AG67" s="7" t="s">
        <v>340</v>
      </c>
      <c r="AH67" s="5">
        <v>1</v>
      </c>
      <c r="AI67" s="5">
        <v>1</v>
      </c>
      <c r="AJ67" s="9">
        <f>IF(AND(ISNUMBER(F67),ISNUMBER(G67),ISNUMBER(K67),ISNUMBER(L67)),ACOS(MIN(1,COS(RADIANS(90-F67))*COS(RADIANS(90-K67))+SIN(RADIANS(90-F67))*SIN(RADIANS(90-K67))*COS(RADIANS(G67-L67))))*6371,"N/A")</f>
        <v>447.13056426504903</v>
      </c>
      <c r="AK67" s="10">
        <f>IF(AND(ISNUMBER(F67),ISNUMBER(G67),ISNUMBER(K67),ISNUMBER(L67)),MOD(DEGREES(ATAN2(COS(RADIANS(K67))*SIN(RADIANS(F67))-SIN(RADIANS(K67))*COS(RADIANS(F67))*COS(RADIANS(G67-L67)),SIN(RADIANS(G67-L67))*COS(RADIANS(F67))))+360,360),"N/A")</f>
        <v>236.17413586147973</v>
      </c>
      <c r="AL67" s="10" t="str">
        <f>IF(AND(ISNUMBER(F67),ISNUMBER(G67),ISNUMBER(M67),ISNUMBER(N67)),ACOS(MIN(1,COS(RADIANS(90-F67))*COS(RADIANS(90-M67))+SIN(RADIANS(90-F67))*SIN(RADIANS(90-M67))*COS(RADIANS(G67-N67))))*6371,"N/A")</f>
        <v>N/A</v>
      </c>
      <c r="AM67" s="10" t="str">
        <f>IF(AND(ISNUMBER(F67),ISNUMBER(G67),ISNUMBER(M67),ISNUMBER(N67)),MOD(DEGREES(ATAN2(COS(RADIANS(M67))*SIN(RADIANS(F67))-SIN(RADIANS(M67))*COS(RADIANS(F67))*COS(RADIANS(G67-N67)),SIN(RADIANS(G67-N67))*COS(RADIANS(F67))))+360,360),"N/A")</f>
        <v>N/A</v>
      </c>
      <c r="AN67" s="2"/>
      <c r="AO67" s="2"/>
    </row>
    <row r="68" spans="1:41" x14ac:dyDescent="0.2">
      <c r="A68" s="8" t="s">
        <v>808</v>
      </c>
      <c r="B68" s="4" t="s">
        <v>791</v>
      </c>
      <c r="C68" s="5" t="s">
        <v>340</v>
      </c>
      <c r="D68" s="4" t="s">
        <v>70</v>
      </c>
      <c r="E68" s="4" t="s">
        <v>89</v>
      </c>
      <c r="F68" s="6">
        <v>40.492199999999997</v>
      </c>
      <c r="G68" s="6">
        <v>14.7067</v>
      </c>
      <c r="H68" s="7">
        <v>-320</v>
      </c>
      <c r="I68" s="4" t="s">
        <v>790</v>
      </c>
      <c r="J68" s="4" t="s">
        <v>15</v>
      </c>
      <c r="K68" s="6">
        <v>40.826999999999998</v>
      </c>
      <c r="L68" s="6">
        <v>14.138999999999999</v>
      </c>
      <c r="M68" s="5" t="s">
        <v>340</v>
      </c>
      <c r="N68" s="5" t="s">
        <v>340</v>
      </c>
      <c r="O68" s="4" t="s">
        <v>839</v>
      </c>
      <c r="P68" s="5">
        <v>8</v>
      </c>
      <c r="Q68" s="5" t="s">
        <v>340</v>
      </c>
      <c r="R68" s="4" t="s">
        <v>184</v>
      </c>
      <c r="S68" s="4" t="s">
        <v>1121</v>
      </c>
      <c r="T68" s="7">
        <v>5056</v>
      </c>
      <c r="U68" s="7">
        <v>5234</v>
      </c>
      <c r="V68" s="7">
        <v>5322</v>
      </c>
      <c r="W68" s="15" t="s">
        <v>928</v>
      </c>
      <c r="X68" s="15" t="s">
        <v>1357</v>
      </c>
      <c r="Y68" s="7" t="s">
        <v>340</v>
      </c>
      <c r="Z68" s="7" t="s">
        <v>340</v>
      </c>
      <c r="AA68" s="7" t="s">
        <v>340</v>
      </c>
      <c r="AB68" s="7" t="s">
        <v>340</v>
      </c>
      <c r="AC68" s="7">
        <v>5640</v>
      </c>
      <c r="AD68" s="7">
        <v>280</v>
      </c>
      <c r="AE68" s="7">
        <v>5222</v>
      </c>
      <c r="AF68" s="7">
        <v>81</v>
      </c>
      <c r="AG68" s="7" t="s">
        <v>340</v>
      </c>
      <c r="AH68" s="5">
        <v>1</v>
      </c>
      <c r="AI68" s="5">
        <v>1</v>
      </c>
      <c r="AJ68" s="9">
        <f>IF(AND(ISNUMBER(F68),ISNUMBER(G68),ISNUMBER(K68),ISNUMBER(L68)),ACOS(MIN(1,COS(RADIANS(90-F68))*COS(RADIANS(90-K68))+SIN(RADIANS(90-F68))*SIN(RADIANS(90-K68))*COS(RADIANS(G68-L68))))*6371,"N/A")</f>
        <v>60.654909573874157</v>
      </c>
      <c r="AK68" s="10">
        <f>IF(AND(ISNUMBER(F68),ISNUMBER(G68),ISNUMBER(K68),ISNUMBER(L68)),MOD(DEGREES(ATAN2(COS(RADIANS(K68))*SIN(RADIANS(F68))-SIN(RADIANS(K68))*COS(RADIANS(F68))*COS(RADIANS(G68-L68)),SIN(RADIANS(G68-L68))*COS(RADIANS(F68))))+360,360),"N/A")</f>
        <v>127.67708826355931</v>
      </c>
      <c r="AL68" s="10" t="str">
        <f>IF(AND(ISNUMBER(F68),ISNUMBER(G68),ISNUMBER(M68),ISNUMBER(N68)),ACOS(MIN(1,COS(RADIANS(90-F68))*COS(RADIANS(90-M68))+SIN(RADIANS(90-F68))*SIN(RADIANS(90-M68))*COS(RADIANS(G68-N68))))*6371,"N/A")</f>
        <v>N/A</v>
      </c>
      <c r="AM68" s="10" t="str">
        <f>IF(AND(ISNUMBER(F68),ISNUMBER(G68),ISNUMBER(M68),ISNUMBER(N68)),MOD(DEGREES(ATAN2(COS(RADIANS(M68))*SIN(RADIANS(F68))-SIN(RADIANS(M68))*COS(RADIANS(F68))*COS(RADIANS(G68-N68)),SIN(RADIANS(G68-N68))*COS(RADIANS(F68))))+360,360),"N/A")</f>
        <v>N/A</v>
      </c>
      <c r="AN68" s="2"/>
      <c r="AO68" s="2"/>
    </row>
    <row r="69" spans="1:41" x14ac:dyDescent="0.2">
      <c r="A69" s="4" t="s">
        <v>798</v>
      </c>
      <c r="B69" s="4" t="s">
        <v>792</v>
      </c>
      <c r="C69" s="5" t="s">
        <v>340</v>
      </c>
      <c r="D69" s="4" t="s">
        <v>70</v>
      </c>
      <c r="E69" s="4" t="s">
        <v>89</v>
      </c>
      <c r="F69" s="6">
        <v>39.664900000000003</v>
      </c>
      <c r="G69" s="6">
        <v>15.771699999999999</v>
      </c>
      <c r="H69" s="7">
        <v>-91</v>
      </c>
      <c r="I69" s="4" t="s">
        <v>790</v>
      </c>
      <c r="J69" s="4" t="s">
        <v>15</v>
      </c>
      <c r="K69" s="6">
        <v>40.826999999999998</v>
      </c>
      <c r="L69" s="6">
        <v>14.138999999999999</v>
      </c>
      <c r="M69" s="5" t="s">
        <v>340</v>
      </c>
      <c r="N69" s="5" t="s">
        <v>340</v>
      </c>
      <c r="O69" s="4" t="s">
        <v>907</v>
      </c>
      <c r="P69" s="5">
        <v>10</v>
      </c>
      <c r="Q69" s="5" t="s">
        <v>340</v>
      </c>
      <c r="R69" s="4" t="s">
        <v>184</v>
      </c>
      <c r="S69" s="4" t="s">
        <v>1121</v>
      </c>
      <c r="T69" s="7">
        <v>4175</v>
      </c>
      <c r="U69" s="7">
        <v>4280</v>
      </c>
      <c r="V69" s="7">
        <v>4390</v>
      </c>
      <c r="W69" s="15" t="s">
        <v>928</v>
      </c>
      <c r="X69" s="15" t="s">
        <v>1357</v>
      </c>
      <c r="Y69" s="7" t="s">
        <v>340</v>
      </c>
      <c r="Z69" s="7" t="s">
        <v>340</v>
      </c>
      <c r="AA69" s="7" t="s">
        <v>340</v>
      </c>
      <c r="AB69" s="7" t="s">
        <v>340</v>
      </c>
      <c r="AC69" s="7" t="s">
        <v>340</v>
      </c>
      <c r="AD69" s="7" t="s">
        <v>340</v>
      </c>
      <c r="AE69" s="7">
        <v>4281</v>
      </c>
      <c r="AF69" s="7">
        <v>56</v>
      </c>
      <c r="AG69" s="7" t="s">
        <v>340</v>
      </c>
      <c r="AH69" s="5">
        <v>1</v>
      </c>
      <c r="AI69" s="5">
        <v>1</v>
      </c>
      <c r="AJ69" s="9">
        <f>IF(AND(ISNUMBER(F69),ISNUMBER(G69),ISNUMBER(K69),ISNUMBER(L69)),ACOS(MIN(1,COS(RADIANS(90-F69))*COS(RADIANS(90-K69))+SIN(RADIANS(90-F69))*SIN(RADIANS(90-K69))*COS(RADIANS(G69-L69))))*6371,"N/A")</f>
        <v>189.46551220161089</v>
      </c>
      <c r="AK69" s="10">
        <f>IF(AND(ISNUMBER(F69),ISNUMBER(G69),ISNUMBER(K69),ISNUMBER(L69)),MOD(DEGREES(ATAN2(COS(RADIANS(K69))*SIN(RADIANS(F69))-SIN(RADIANS(K69))*COS(RADIANS(F69))*COS(RADIANS(G69-L69)),SIN(RADIANS(G69-L69))*COS(RADIANS(F69))))+360,360),"N/A")</f>
        <v>132.47000491549954</v>
      </c>
      <c r="AL69" s="10" t="str">
        <f>IF(AND(ISNUMBER(F69),ISNUMBER(G69),ISNUMBER(M69),ISNUMBER(N69)),ACOS(MIN(1,COS(RADIANS(90-F69))*COS(RADIANS(90-M69))+SIN(RADIANS(90-F69))*SIN(RADIANS(90-M69))*COS(RADIANS(G69-N69))))*6371,"N/A")</f>
        <v>N/A</v>
      </c>
      <c r="AM69" s="10" t="str">
        <f>IF(AND(ISNUMBER(F69),ISNUMBER(G69),ISNUMBER(M69),ISNUMBER(N69)),MOD(DEGREES(ATAN2(COS(RADIANS(M69))*SIN(RADIANS(F69))-SIN(RADIANS(M69))*COS(RADIANS(F69))*COS(RADIANS(G69-N69)),SIN(RADIANS(G69-N69))*COS(RADIANS(F69))))+360,360),"N/A")</f>
        <v>N/A</v>
      </c>
      <c r="AN69" s="2"/>
      <c r="AO69" s="2"/>
    </row>
    <row r="70" spans="1:41" x14ac:dyDescent="0.2">
      <c r="A70" s="8" t="s">
        <v>805</v>
      </c>
      <c r="B70" s="4" t="s">
        <v>791</v>
      </c>
      <c r="C70" s="5" t="s">
        <v>340</v>
      </c>
      <c r="D70" s="4" t="s">
        <v>70</v>
      </c>
      <c r="E70" s="4" t="s">
        <v>89</v>
      </c>
      <c r="F70" s="6">
        <v>40.492199999999997</v>
      </c>
      <c r="G70" s="6">
        <v>14.7067</v>
      </c>
      <c r="H70" s="7">
        <v>-320</v>
      </c>
      <c r="I70" s="4" t="s">
        <v>790</v>
      </c>
      <c r="J70" s="4" t="s">
        <v>15</v>
      </c>
      <c r="K70" s="6">
        <v>40.826999999999998</v>
      </c>
      <c r="L70" s="6">
        <v>14.138999999999999</v>
      </c>
      <c r="M70" s="5" t="s">
        <v>340</v>
      </c>
      <c r="N70" s="5" t="s">
        <v>340</v>
      </c>
      <c r="O70" s="4" t="s">
        <v>834</v>
      </c>
      <c r="P70" s="5">
        <v>10</v>
      </c>
      <c r="Q70" s="5" t="s">
        <v>340</v>
      </c>
      <c r="R70" s="4" t="s">
        <v>184</v>
      </c>
      <c r="S70" s="4" t="s">
        <v>1121</v>
      </c>
      <c r="T70" s="7">
        <v>9190</v>
      </c>
      <c r="U70" s="7">
        <v>9385</v>
      </c>
      <c r="V70" s="7">
        <v>9535</v>
      </c>
      <c r="W70" s="15" t="s">
        <v>928</v>
      </c>
      <c r="X70" s="15" t="s">
        <v>1357</v>
      </c>
      <c r="Y70" s="7" t="s">
        <v>340</v>
      </c>
      <c r="Z70" s="7" t="s">
        <v>340</v>
      </c>
      <c r="AA70" s="7" t="s">
        <v>340</v>
      </c>
      <c r="AB70" s="7" t="s">
        <v>340</v>
      </c>
      <c r="AC70" s="7" t="s">
        <v>340</v>
      </c>
      <c r="AD70" s="7" t="s">
        <v>340</v>
      </c>
      <c r="AE70" s="7">
        <v>9373</v>
      </c>
      <c r="AF70" s="7">
        <v>91</v>
      </c>
      <c r="AG70" s="7" t="s">
        <v>340</v>
      </c>
      <c r="AH70" s="5">
        <v>1</v>
      </c>
      <c r="AI70" s="5">
        <v>1</v>
      </c>
      <c r="AJ70" s="9">
        <f>IF(AND(ISNUMBER(F70),ISNUMBER(G70),ISNUMBER(K70),ISNUMBER(L70)),ACOS(MIN(1,COS(RADIANS(90-F70))*COS(RADIANS(90-K70))+SIN(RADIANS(90-F70))*SIN(RADIANS(90-K70))*COS(RADIANS(G70-L70))))*6371,"N/A")</f>
        <v>60.654909573874157</v>
      </c>
      <c r="AK70" s="10">
        <f>IF(AND(ISNUMBER(F70),ISNUMBER(G70),ISNUMBER(K70),ISNUMBER(L70)),MOD(DEGREES(ATAN2(COS(RADIANS(K70))*SIN(RADIANS(F70))-SIN(RADIANS(K70))*COS(RADIANS(F70))*COS(RADIANS(G70-L70)),SIN(RADIANS(G70-L70))*COS(RADIANS(F70))))+360,360),"N/A")</f>
        <v>127.67708826355931</v>
      </c>
      <c r="AL70" s="10" t="str">
        <f>IF(AND(ISNUMBER(F70),ISNUMBER(G70),ISNUMBER(M70),ISNUMBER(N70)),ACOS(MIN(1,COS(RADIANS(90-F70))*COS(RADIANS(90-M70))+SIN(RADIANS(90-F70))*SIN(RADIANS(90-M70))*COS(RADIANS(G70-N70))))*6371,"N/A")</f>
        <v>N/A</v>
      </c>
      <c r="AM70" s="10" t="str">
        <f>IF(AND(ISNUMBER(F70),ISNUMBER(G70),ISNUMBER(M70),ISNUMBER(N70)),MOD(DEGREES(ATAN2(COS(RADIANS(M70))*SIN(RADIANS(F70))-SIN(RADIANS(M70))*COS(RADIANS(F70))*COS(RADIANS(G70-N70)),SIN(RADIANS(G70-N70))*COS(RADIANS(F70))))+360,360),"N/A")</f>
        <v>N/A</v>
      </c>
      <c r="AN70" s="2"/>
      <c r="AO70" s="2"/>
    </row>
    <row r="71" spans="1:41" x14ac:dyDescent="0.2">
      <c r="A71" s="8" t="s">
        <v>806</v>
      </c>
      <c r="B71" s="4" t="s">
        <v>791</v>
      </c>
      <c r="C71" s="5" t="s">
        <v>340</v>
      </c>
      <c r="D71" s="4" t="s">
        <v>70</v>
      </c>
      <c r="E71" s="4" t="s">
        <v>89</v>
      </c>
      <c r="F71" s="6">
        <v>40.492199999999997</v>
      </c>
      <c r="G71" s="6">
        <v>14.7067</v>
      </c>
      <c r="H71" s="7">
        <v>-320</v>
      </c>
      <c r="I71" s="4" t="s">
        <v>790</v>
      </c>
      <c r="J71" s="4" t="s">
        <v>15</v>
      </c>
      <c r="K71" s="6">
        <v>40.826999999999998</v>
      </c>
      <c r="L71" s="6">
        <v>14.138999999999999</v>
      </c>
      <c r="M71" s="5" t="s">
        <v>340</v>
      </c>
      <c r="N71" s="5" t="s">
        <v>340</v>
      </c>
      <c r="O71" s="4" t="s">
        <v>834</v>
      </c>
      <c r="P71" s="5">
        <v>4</v>
      </c>
      <c r="Q71" s="5" t="s">
        <v>340</v>
      </c>
      <c r="R71" s="4" t="s">
        <v>184</v>
      </c>
      <c r="S71" s="4" t="s">
        <v>1121</v>
      </c>
      <c r="T71" s="7">
        <v>9190</v>
      </c>
      <c r="U71" s="7">
        <v>9385</v>
      </c>
      <c r="V71" s="7">
        <v>9535</v>
      </c>
      <c r="W71" s="15" t="s">
        <v>928</v>
      </c>
      <c r="X71" s="15" t="s">
        <v>1357</v>
      </c>
      <c r="Y71" s="7" t="s">
        <v>340</v>
      </c>
      <c r="Z71" s="7" t="s">
        <v>340</v>
      </c>
      <c r="AA71" s="7" t="s">
        <v>340</v>
      </c>
      <c r="AB71" s="7" t="s">
        <v>340</v>
      </c>
      <c r="AC71" s="7" t="s">
        <v>340</v>
      </c>
      <c r="AD71" s="7" t="s">
        <v>340</v>
      </c>
      <c r="AE71" s="7">
        <v>9373</v>
      </c>
      <c r="AF71" s="7">
        <v>91</v>
      </c>
      <c r="AG71" s="7" t="s">
        <v>340</v>
      </c>
      <c r="AH71" s="5">
        <v>1</v>
      </c>
      <c r="AI71" s="5">
        <v>1</v>
      </c>
      <c r="AJ71" s="9">
        <f>IF(AND(ISNUMBER(F71),ISNUMBER(G71),ISNUMBER(K71),ISNUMBER(L71)),ACOS(MIN(1,COS(RADIANS(90-F71))*COS(RADIANS(90-K71))+SIN(RADIANS(90-F71))*SIN(RADIANS(90-K71))*COS(RADIANS(G71-L71))))*6371,"N/A")</f>
        <v>60.654909573874157</v>
      </c>
      <c r="AK71" s="10">
        <f>IF(AND(ISNUMBER(F71),ISNUMBER(G71),ISNUMBER(K71),ISNUMBER(L71)),MOD(DEGREES(ATAN2(COS(RADIANS(K71))*SIN(RADIANS(F71))-SIN(RADIANS(K71))*COS(RADIANS(F71))*COS(RADIANS(G71-L71)),SIN(RADIANS(G71-L71))*COS(RADIANS(F71))))+360,360),"N/A")</f>
        <v>127.67708826355931</v>
      </c>
      <c r="AL71" s="10" t="str">
        <f>IF(AND(ISNUMBER(F71),ISNUMBER(G71),ISNUMBER(M71),ISNUMBER(N71)),ACOS(MIN(1,COS(RADIANS(90-F71))*COS(RADIANS(90-M71))+SIN(RADIANS(90-F71))*SIN(RADIANS(90-M71))*COS(RADIANS(G71-N71))))*6371,"N/A")</f>
        <v>N/A</v>
      </c>
      <c r="AM71" s="10" t="str">
        <f>IF(AND(ISNUMBER(F71),ISNUMBER(G71),ISNUMBER(M71),ISNUMBER(N71)),MOD(DEGREES(ATAN2(COS(RADIANS(M71))*SIN(RADIANS(F71))-SIN(RADIANS(M71))*COS(RADIANS(F71))*COS(RADIANS(G71-N71)),SIN(RADIANS(G71-N71))*COS(RADIANS(F71))))+360,360),"N/A")</f>
        <v>N/A</v>
      </c>
      <c r="AN71" s="2"/>
      <c r="AO71" s="2"/>
    </row>
    <row r="72" spans="1:41" x14ac:dyDescent="0.2">
      <c r="A72" s="8" t="s">
        <v>803</v>
      </c>
      <c r="B72" s="4" t="s">
        <v>791</v>
      </c>
      <c r="C72" s="5" t="s">
        <v>340</v>
      </c>
      <c r="D72" s="4" t="s">
        <v>70</v>
      </c>
      <c r="E72" s="4" t="s">
        <v>89</v>
      </c>
      <c r="F72" s="6">
        <v>40.492199999999997</v>
      </c>
      <c r="G72" s="6">
        <v>14.7067</v>
      </c>
      <c r="H72" s="7">
        <v>-320</v>
      </c>
      <c r="I72" s="4" t="s">
        <v>790</v>
      </c>
      <c r="J72" s="4" t="s">
        <v>15</v>
      </c>
      <c r="K72" s="6">
        <v>40.826999999999998</v>
      </c>
      <c r="L72" s="6">
        <v>14.138999999999999</v>
      </c>
      <c r="M72" s="5" t="s">
        <v>340</v>
      </c>
      <c r="N72" s="5" t="s">
        <v>340</v>
      </c>
      <c r="O72" s="4" t="s">
        <v>232</v>
      </c>
      <c r="P72" s="5">
        <v>8</v>
      </c>
      <c r="Q72" s="5" t="s">
        <v>340</v>
      </c>
      <c r="R72" s="4" t="s">
        <v>184</v>
      </c>
      <c r="S72" s="4" t="s">
        <v>1121</v>
      </c>
      <c r="T72" s="7">
        <v>11860</v>
      </c>
      <c r="U72" s="7">
        <v>12096</v>
      </c>
      <c r="V72" s="7">
        <v>12396</v>
      </c>
      <c r="W72" s="15" t="s">
        <v>928</v>
      </c>
      <c r="X72" s="21" t="s">
        <v>1357</v>
      </c>
      <c r="Y72" s="7" t="s">
        <v>340</v>
      </c>
      <c r="Z72" s="7" t="s">
        <v>340</v>
      </c>
      <c r="AA72" s="7" t="s">
        <v>340</v>
      </c>
      <c r="AB72" s="7" t="s">
        <v>340</v>
      </c>
      <c r="AC72" s="7">
        <v>12180</v>
      </c>
      <c r="AD72" s="7">
        <v>610</v>
      </c>
      <c r="AE72" s="7">
        <v>12104</v>
      </c>
      <c r="AF72" s="7">
        <v>141</v>
      </c>
      <c r="AG72" s="7" t="s">
        <v>340</v>
      </c>
      <c r="AH72" s="5">
        <v>1</v>
      </c>
      <c r="AI72" s="5">
        <v>1</v>
      </c>
      <c r="AJ72" s="9">
        <f>IF(AND(ISNUMBER(F72),ISNUMBER(G72),ISNUMBER(K72),ISNUMBER(L72)),ACOS(MIN(1,COS(RADIANS(90-F72))*COS(RADIANS(90-K72))+SIN(RADIANS(90-F72))*SIN(RADIANS(90-K72))*COS(RADIANS(G72-L72))))*6371,"N/A")</f>
        <v>60.654909573874157</v>
      </c>
      <c r="AK72" s="10">
        <f>IF(AND(ISNUMBER(F72),ISNUMBER(G72),ISNUMBER(K72),ISNUMBER(L72)),MOD(DEGREES(ATAN2(COS(RADIANS(K72))*SIN(RADIANS(F72))-SIN(RADIANS(K72))*COS(RADIANS(F72))*COS(RADIANS(G72-L72)),SIN(RADIANS(G72-L72))*COS(RADIANS(F72))))+360,360),"N/A")</f>
        <v>127.67708826355931</v>
      </c>
      <c r="AL72" s="10" t="str">
        <f>IF(AND(ISNUMBER(F72),ISNUMBER(G72),ISNUMBER(M72),ISNUMBER(N72)),ACOS(MIN(1,COS(RADIANS(90-F72))*COS(RADIANS(90-M72))+SIN(RADIANS(90-F72))*SIN(RADIANS(90-M72))*COS(RADIANS(G72-N72))))*6371,"N/A")</f>
        <v>N/A</v>
      </c>
      <c r="AM72" s="10" t="str">
        <f>IF(AND(ISNUMBER(F72),ISNUMBER(G72),ISNUMBER(M72),ISNUMBER(N72)),MOD(DEGREES(ATAN2(COS(RADIANS(M72))*SIN(RADIANS(F72))-SIN(RADIANS(M72))*COS(RADIANS(F72))*COS(RADIANS(G72-N72)),SIN(RADIANS(G72-N72))*COS(RADIANS(F72))))+360,360),"N/A")</f>
        <v>N/A</v>
      </c>
      <c r="AN72" s="2"/>
      <c r="AO72" s="2"/>
    </row>
    <row r="73" spans="1:41" x14ac:dyDescent="0.2">
      <c r="A73" s="4" t="s">
        <v>794</v>
      </c>
      <c r="B73" s="4" t="s">
        <v>792</v>
      </c>
      <c r="C73" s="5" t="s">
        <v>340</v>
      </c>
      <c r="D73" s="4" t="s">
        <v>70</v>
      </c>
      <c r="E73" s="4" t="s">
        <v>89</v>
      </c>
      <c r="F73" s="6">
        <v>39.664900000000003</v>
      </c>
      <c r="G73" s="6">
        <v>15.771699999999999</v>
      </c>
      <c r="H73" s="7">
        <v>-91</v>
      </c>
      <c r="I73" s="4" t="s">
        <v>790</v>
      </c>
      <c r="J73" s="4" t="s">
        <v>15</v>
      </c>
      <c r="K73" s="6">
        <v>40.826999999999998</v>
      </c>
      <c r="L73" s="6">
        <v>14.138999999999999</v>
      </c>
      <c r="M73" s="5" t="s">
        <v>340</v>
      </c>
      <c r="N73" s="5" t="s">
        <v>340</v>
      </c>
      <c r="O73" s="4" t="s">
        <v>440</v>
      </c>
      <c r="P73" s="5">
        <v>11</v>
      </c>
      <c r="Q73" s="5" t="s">
        <v>340</v>
      </c>
      <c r="R73" s="4" t="s">
        <v>184</v>
      </c>
      <c r="S73" s="4" t="s">
        <v>1121</v>
      </c>
      <c r="T73" s="7">
        <v>12116</v>
      </c>
      <c r="U73" s="7">
        <v>12388</v>
      </c>
      <c r="V73" s="7">
        <v>12482</v>
      </c>
      <c r="W73" s="15" t="s">
        <v>1335</v>
      </c>
      <c r="X73" s="15" t="s">
        <v>1361</v>
      </c>
      <c r="Y73" s="7">
        <v>10330</v>
      </c>
      <c r="Z73" s="7">
        <v>50</v>
      </c>
      <c r="AA73" s="7" t="s">
        <v>340</v>
      </c>
      <c r="AB73" s="7" t="s">
        <v>340</v>
      </c>
      <c r="AC73" s="7" t="s">
        <v>340</v>
      </c>
      <c r="AD73" s="7" t="s">
        <v>340</v>
      </c>
      <c r="AE73" s="7">
        <v>12357</v>
      </c>
      <c r="AF73" s="7">
        <v>100</v>
      </c>
      <c r="AG73" s="7" t="s">
        <v>340</v>
      </c>
      <c r="AH73" s="5">
        <v>1</v>
      </c>
      <c r="AI73" s="5">
        <v>1</v>
      </c>
      <c r="AJ73" s="9">
        <f>IF(AND(ISNUMBER(F73),ISNUMBER(G73),ISNUMBER(K73),ISNUMBER(L73)),ACOS(MIN(1,COS(RADIANS(90-F73))*COS(RADIANS(90-K73))+SIN(RADIANS(90-F73))*SIN(RADIANS(90-K73))*COS(RADIANS(G73-L73))))*6371,"N/A")</f>
        <v>189.46551220161089</v>
      </c>
      <c r="AK73" s="10">
        <f>IF(AND(ISNUMBER(F73),ISNUMBER(G73),ISNUMBER(K73),ISNUMBER(L73)),MOD(DEGREES(ATAN2(COS(RADIANS(K73))*SIN(RADIANS(F73))-SIN(RADIANS(K73))*COS(RADIANS(F73))*COS(RADIANS(G73-L73)),SIN(RADIANS(G73-L73))*COS(RADIANS(F73))))+360,360),"N/A")</f>
        <v>132.47000491549954</v>
      </c>
      <c r="AL73" s="10" t="str">
        <f>IF(AND(ISNUMBER(F73),ISNUMBER(G73),ISNUMBER(M73),ISNUMBER(N73)),ACOS(MIN(1,COS(RADIANS(90-F73))*COS(RADIANS(90-M73))+SIN(RADIANS(90-F73))*SIN(RADIANS(90-M73))*COS(RADIANS(G73-N73))))*6371,"N/A")</f>
        <v>N/A</v>
      </c>
      <c r="AM73" s="10" t="str">
        <f>IF(AND(ISNUMBER(F73),ISNUMBER(G73),ISNUMBER(M73),ISNUMBER(N73)),MOD(DEGREES(ATAN2(COS(RADIANS(M73))*SIN(RADIANS(F73))-SIN(RADIANS(M73))*COS(RADIANS(F73))*COS(RADIANS(G73-N73)),SIN(RADIANS(G73-N73))*COS(RADIANS(F73))))+360,360),"N/A")</f>
        <v>N/A</v>
      </c>
      <c r="AN73" s="2"/>
      <c r="AO73" s="2"/>
    </row>
    <row r="74" spans="1:41" x14ac:dyDescent="0.2">
      <c r="A74" s="8" t="s">
        <v>804</v>
      </c>
      <c r="B74" s="4" t="s">
        <v>791</v>
      </c>
      <c r="C74" s="5" t="s">
        <v>340</v>
      </c>
      <c r="D74" s="4" t="s">
        <v>70</v>
      </c>
      <c r="E74" s="4" t="s">
        <v>89</v>
      </c>
      <c r="F74" s="6">
        <v>40.492199999999997</v>
      </c>
      <c r="G74" s="6">
        <v>14.7067</v>
      </c>
      <c r="H74" s="7">
        <v>-320</v>
      </c>
      <c r="I74" s="4" t="s">
        <v>790</v>
      </c>
      <c r="J74" s="4" t="s">
        <v>15</v>
      </c>
      <c r="K74" s="6">
        <v>40.826999999999998</v>
      </c>
      <c r="L74" s="6">
        <v>14.138999999999999</v>
      </c>
      <c r="M74" s="5" t="s">
        <v>340</v>
      </c>
      <c r="N74" s="5" t="s">
        <v>340</v>
      </c>
      <c r="O74" s="4" t="s">
        <v>709</v>
      </c>
      <c r="P74" s="5">
        <v>9</v>
      </c>
      <c r="Q74" s="5" t="s">
        <v>340</v>
      </c>
      <c r="R74" s="4" t="s">
        <v>184</v>
      </c>
      <c r="S74" s="4" t="s">
        <v>1121</v>
      </c>
      <c r="T74" s="7">
        <v>11209</v>
      </c>
      <c r="U74" s="7">
        <v>11611</v>
      </c>
      <c r="V74" s="7">
        <v>12009</v>
      </c>
      <c r="W74" s="15" t="s">
        <v>928</v>
      </c>
      <c r="X74" s="15" t="s">
        <v>1368</v>
      </c>
      <c r="Y74" s="7" t="s">
        <v>340</v>
      </c>
      <c r="Z74" s="7" t="s">
        <v>340</v>
      </c>
      <c r="AA74" s="7" t="s">
        <v>340</v>
      </c>
      <c r="AB74" s="7" t="s">
        <v>340</v>
      </c>
      <c r="AC74" s="7">
        <v>11980</v>
      </c>
      <c r="AD74" s="7">
        <v>600</v>
      </c>
      <c r="AE74" s="7">
        <v>11609</v>
      </c>
      <c r="AF74" s="7">
        <v>200</v>
      </c>
      <c r="AG74" s="7" t="s">
        <v>340</v>
      </c>
      <c r="AH74" s="5">
        <v>1</v>
      </c>
      <c r="AI74" s="5">
        <v>1</v>
      </c>
      <c r="AJ74" s="9">
        <f>IF(AND(ISNUMBER(F74),ISNUMBER(G74),ISNUMBER(K74),ISNUMBER(L74)),ACOS(MIN(1,COS(RADIANS(90-F74))*COS(RADIANS(90-K74))+SIN(RADIANS(90-F74))*SIN(RADIANS(90-K74))*COS(RADIANS(G74-L74))))*6371,"N/A")</f>
        <v>60.654909573874157</v>
      </c>
      <c r="AK74" s="10">
        <f>IF(AND(ISNUMBER(F74),ISNUMBER(G74),ISNUMBER(K74),ISNUMBER(L74)),MOD(DEGREES(ATAN2(COS(RADIANS(K74))*SIN(RADIANS(F74))-SIN(RADIANS(K74))*COS(RADIANS(F74))*COS(RADIANS(G74-L74)),SIN(RADIANS(G74-L74))*COS(RADIANS(F74))))+360,360),"N/A")</f>
        <v>127.67708826355931</v>
      </c>
      <c r="AL74" s="10" t="str">
        <f>IF(AND(ISNUMBER(F74),ISNUMBER(G74),ISNUMBER(M74),ISNUMBER(N74)),ACOS(MIN(1,COS(RADIANS(90-F74))*COS(RADIANS(90-M74))+SIN(RADIANS(90-F74))*SIN(RADIANS(90-M74))*COS(RADIANS(G74-N74))))*6371,"N/A")</f>
        <v>N/A</v>
      </c>
      <c r="AM74" s="10" t="str">
        <f>IF(AND(ISNUMBER(F74),ISNUMBER(G74),ISNUMBER(M74),ISNUMBER(N74)),MOD(DEGREES(ATAN2(COS(RADIANS(M74))*SIN(RADIANS(F74))-SIN(RADIANS(M74))*COS(RADIANS(F74))*COS(RADIANS(G74-N74)),SIN(RADIANS(G74-N74))*COS(RADIANS(F74))))+360,360),"N/A")</f>
        <v>N/A</v>
      </c>
      <c r="AN74" s="2"/>
      <c r="AO74" s="2"/>
    </row>
    <row r="75" spans="1:41" x14ac:dyDescent="0.2">
      <c r="A75" s="8" t="s">
        <v>824</v>
      </c>
      <c r="B75" s="4" t="s">
        <v>793</v>
      </c>
      <c r="C75" s="5" t="s">
        <v>340</v>
      </c>
      <c r="D75" s="4" t="s">
        <v>70</v>
      </c>
      <c r="E75" s="4" t="s">
        <v>101</v>
      </c>
      <c r="F75" s="6">
        <v>39.869399999999999</v>
      </c>
      <c r="G75" s="6">
        <v>17.149999999999999</v>
      </c>
      <c r="H75" s="7">
        <v>-995</v>
      </c>
      <c r="I75" s="4" t="s">
        <v>790</v>
      </c>
      <c r="J75" s="4" t="s">
        <v>42</v>
      </c>
      <c r="K75" s="6">
        <v>37.747999999999998</v>
      </c>
      <c r="L75" s="6">
        <v>14.999000000000001</v>
      </c>
      <c r="M75" s="5" t="s">
        <v>340</v>
      </c>
      <c r="N75" s="5" t="s">
        <v>340</v>
      </c>
      <c r="O75" s="4" t="s">
        <v>424</v>
      </c>
      <c r="P75" s="5">
        <v>10</v>
      </c>
      <c r="Q75" s="5" t="s">
        <v>340</v>
      </c>
      <c r="R75" s="4" t="s">
        <v>184</v>
      </c>
      <c r="S75" s="4" t="s">
        <v>1121</v>
      </c>
      <c r="T75" s="7">
        <v>3213</v>
      </c>
      <c r="U75" s="7">
        <v>3368</v>
      </c>
      <c r="V75" s="7">
        <v>3481</v>
      </c>
      <c r="W75" s="15" t="s">
        <v>909</v>
      </c>
      <c r="X75" s="15" t="s">
        <v>1367</v>
      </c>
      <c r="Y75" s="7">
        <v>3150</v>
      </c>
      <c r="Z75" s="7">
        <v>60</v>
      </c>
      <c r="AA75" s="7" t="s">
        <v>340</v>
      </c>
      <c r="AB75" s="7" t="s">
        <v>340</v>
      </c>
      <c r="AC75" s="7" t="s">
        <v>340</v>
      </c>
      <c r="AD75" s="7" t="s">
        <v>340</v>
      </c>
      <c r="AE75" s="7" t="s">
        <v>340</v>
      </c>
      <c r="AF75" s="7" t="s">
        <v>340</v>
      </c>
      <c r="AG75" s="7" t="s">
        <v>340</v>
      </c>
      <c r="AH75" s="5">
        <v>1</v>
      </c>
      <c r="AI75" s="5">
        <v>1</v>
      </c>
      <c r="AJ75" s="9">
        <f>IF(AND(ISNUMBER(F75),ISNUMBER(G75),ISNUMBER(K75),ISNUMBER(L75)),ACOS(MIN(1,COS(RADIANS(90-F75))*COS(RADIANS(90-K75))+SIN(RADIANS(90-F75))*SIN(RADIANS(90-K75))*COS(RADIANS(G75-L75))))*6371,"N/A")</f>
        <v>300.61209816096192</v>
      </c>
      <c r="AK75" s="10">
        <f>IF(AND(ISNUMBER(F75),ISNUMBER(G75),ISNUMBER(K75),ISNUMBER(L75)),MOD(DEGREES(ATAN2(COS(RADIANS(K75))*SIN(RADIANS(F75))-SIN(RADIANS(K75))*COS(RADIANS(F75))*COS(RADIANS(G75-L75)),SIN(RADIANS(G75-L75))*COS(RADIANS(F75))))+360,360),"N/A")</f>
        <v>37.64347694703622</v>
      </c>
      <c r="AL75" s="10" t="str">
        <f>IF(AND(ISNUMBER(F75),ISNUMBER(G75),ISNUMBER(M75),ISNUMBER(N75)),ACOS(MIN(1,COS(RADIANS(90-F75))*COS(RADIANS(90-M75))+SIN(RADIANS(90-F75))*SIN(RADIANS(90-M75))*COS(RADIANS(G75-N75))))*6371,"N/A")</f>
        <v>N/A</v>
      </c>
      <c r="AM75" s="10" t="str">
        <f>IF(AND(ISNUMBER(F75),ISNUMBER(G75),ISNUMBER(M75),ISNUMBER(N75)),MOD(DEGREES(ATAN2(COS(RADIANS(M75))*SIN(RADIANS(F75))-SIN(RADIANS(M75))*COS(RADIANS(F75))*COS(RADIANS(G75-N75)),SIN(RADIANS(G75-N75))*COS(RADIANS(F75))))+360,360),"N/A")</f>
        <v>N/A</v>
      </c>
      <c r="AN75" s="2"/>
      <c r="AO75" s="2"/>
    </row>
    <row r="76" spans="1:41" x14ac:dyDescent="0.2">
      <c r="A76" s="4" t="s">
        <v>796</v>
      </c>
      <c r="B76" s="4" t="s">
        <v>792</v>
      </c>
      <c r="C76" s="5" t="s">
        <v>340</v>
      </c>
      <c r="D76" s="4" t="s">
        <v>70</v>
      </c>
      <c r="E76" s="4" t="s">
        <v>89</v>
      </c>
      <c r="F76" s="6">
        <v>39.664900000000003</v>
      </c>
      <c r="G76" s="6">
        <v>15.771699999999999</v>
      </c>
      <c r="H76" s="7">
        <v>-91</v>
      </c>
      <c r="I76" s="4" t="s">
        <v>790</v>
      </c>
      <c r="J76" s="4" t="s">
        <v>53</v>
      </c>
      <c r="K76" s="6">
        <v>38.49</v>
      </c>
      <c r="L76" s="6">
        <v>14.933</v>
      </c>
      <c r="M76" s="5" t="s">
        <v>340</v>
      </c>
      <c r="N76" s="5" t="s">
        <v>340</v>
      </c>
      <c r="O76" s="4" t="s">
        <v>444</v>
      </c>
      <c r="P76" s="5">
        <v>10</v>
      </c>
      <c r="Q76" s="5" t="s">
        <v>340</v>
      </c>
      <c r="R76" s="4" t="s">
        <v>184</v>
      </c>
      <c r="S76" s="4" t="s">
        <v>1121</v>
      </c>
      <c r="T76" s="7">
        <v>7839</v>
      </c>
      <c r="U76" s="7">
        <v>8064</v>
      </c>
      <c r="V76" s="7">
        <v>8288</v>
      </c>
      <c r="W76" s="15" t="s">
        <v>1347</v>
      </c>
      <c r="X76" s="15" t="s">
        <v>1363</v>
      </c>
      <c r="Y76" s="7">
        <v>7770</v>
      </c>
      <c r="Z76" s="7">
        <v>70</v>
      </c>
      <c r="AA76" s="7" t="s">
        <v>340</v>
      </c>
      <c r="AB76" s="7" t="s">
        <v>340</v>
      </c>
      <c r="AC76" s="7" t="s">
        <v>340</v>
      </c>
      <c r="AD76" s="7" t="s">
        <v>340</v>
      </c>
      <c r="AE76" s="7" t="s">
        <v>340</v>
      </c>
      <c r="AF76" s="7" t="s">
        <v>340</v>
      </c>
      <c r="AG76" s="7" t="s">
        <v>340</v>
      </c>
      <c r="AH76" s="5">
        <v>1</v>
      </c>
      <c r="AI76" s="5">
        <v>1</v>
      </c>
      <c r="AJ76" s="9">
        <f>IF(AND(ISNUMBER(F76),ISNUMBER(G76),ISNUMBER(K76),ISNUMBER(L76)),ACOS(MIN(1,COS(RADIANS(90-F76))*COS(RADIANS(90-K76))+SIN(RADIANS(90-F76))*SIN(RADIANS(90-K76))*COS(RADIANS(G76-L76))))*6371,"N/A")</f>
        <v>149.35948459721359</v>
      </c>
      <c r="AK76" s="10">
        <f>IF(AND(ISNUMBER(F76),ISNUMBER(G76),ISNUMBER(K76),ISNUMBER(L76)),MOD(DEGREES(ATAN2(COS(RADIANS(K76))*SIN(RADIANS(F76))-SIN(RADIANS(K76))*COS(RADIANS(F76))*COS(RADIANS(G76-L76)),SIN(RADIANS(G76-L76))*COS(RADIANS(F76))))+360,360),"N/A")</f>
        <v>28.729801941563665</v>
      </c>
      <c r="AL76" s="10" t="str">
        <f>IF(AND(ISNUMBER(F76),ISNUMBER(G76),ISNUMBER(M76),ISNUMBER(N76)),ACOS(MIN(1,COS(RADIANS(90-F76))*COS(RADIANS(90-M76))+SIN(RADIANS(90-F76))*SIN(RADIANS(90-M76))*COS(RADIANS(G76-N76))))*6371,"N/A")</f>
        <v>N/A</v>
      </c>
      <c r="AM76" s="10" t="str">
        <f>IF(AND(ISNUMBER(F76),ISNUMBER(G76),ISNUMBER(M76),ISNUMBER(N76)),MOD(DEGREES(ATAN2(COS(RADIANS(M76))*SIN(RADIANS(F76))-SIN(RADIANS(M76))*COS(RADIANS(F76))*COS(RADIANS(G76-N76)),SIN(RADIANS(G76-N76))*COS(RADIANS(F76))))+360,360),"N/A")</f>
        <v>N/A</v>
      </c>
      <c r="AN76" s="2"/>
      <c r="AO76" s="2"/>
    </row>
    <row r="77" spans="1:41" x14ac:dyDescent="0.2">
      <c r="A77" s="4" t="s">
        <v>797</v>
      </c>
      <c r="B77" s="4" t="s">
        <v>792</v>
      </c>
      <c r="C77" s="5" t="s">
        <v>340</v>
      </c>
      <c r="D77" s="4" t="s">
        <v>70</v>
      </c>
      <c r="E77" s="4" t="s">
        <v>89</v>
      </c>
      <c r="F77" s="6">
        <v>39.664900000000003</v>
      </c>
      <c r="G77" s="6">
        <v>15.771699999999999</v>
      </c>
      <c r="H77" s="7">
        <v>-91</v>
      </c>
      <c r="I77" s="4" t="s">
        <v>790</v>
      </c>
      <c r="J77" s="4" t="s">
        <v>53</v>
      </c>
      <c r="K77" s="6">
        <v>38.49</v>
      </c>
      <c r="L77" s="6">
        <v>14.933</v>
      </c>
      <c r="M77" s="5" t="s">
        <v>340</v>
      </c>
      <c r="N77" s="5" t="s">
        <v>340</v>
      </c>
      <c r="O77" s="4" t="s">
        <v>444</v>
      </c>
      <c r="P77" s="5">
        <v>10</v>
      </c>
      <c r="Q77" s="5" t="s">
        <v>340</v>
      </c>
      <c r="R77" s="4" t="s">
        <v>184</v>
      </c>
      <c r="S77" s="4" t="s">
        <v>1121</v>
      </c>
      <c r="T77" s="7">
        <v>7839</v>
      </c>
      <c r="U77" s="7">
        <v>8064</v>
      </c>
      <c r="V77" s="7">
        <v>8288</v>
      </c>
      <c r="W77" s="15" t="s">
        <v>1347</v>
      </c>
      <c r="X77" s="15" t="s">
        <v>1363</v>
      </c>
      <c r="Y77" s="7">
        <v>7770</v>
      </c>
      <c r="Z77" s="7">
        <v>70</v>
      </c>
      <c r="AA77" s="7" t="s">
        <v>340</v>
      </c>
      <c r="AB77" s="7" t="s">
        <v>340</v>
      </c>
      <c r="AC77" s="7" t="s">
        <v>340</v>
      </c>
      <c r="AD77" s="7" t="s">
        <v>340</v>
      </c>
      <c r="AE77" s="7" t="s">
        <v>340</v>
      </c>
      <c r="AF77" s="7" t="s">
        <v>340</v>
      </c>
      <c r="AG77" s="7" t="s">
        <v>340</v>
      </c>
      <c r="AH77" s="5">
        <v>1</v>
      </c>
      <c r="AI77" s="5">
        <v>1</v>
      </c>
      <c r="AJ77" s="9">
        <f>IF(AND(ISNUMBER(F77),ISNUMBER(G77),ISNUMBER(K77),ISNUMBER(L77)),ACOS(MIN(1,COS(RADIANS(90-F77))*COS(RADIANS(90-K77))+SIN(RADIANS(90-F77))*SIN(RADIANS(90-K77))*COS(RADIANS(G77-L77))))*6371,"N/A")</f>
        <v>149.35948459721359</v>
      </c>
      <c r="AK77" s="10">
        <f>IF(AND(ISNUMBER(F77),ISNUMBER(G77),ISNUMBER(K77),ISNUMBER(L77)),MOD(DEGREES(ATAN2(COS(RADIANS(K77))*SIN(RADIANS(F77))-SIN(RADIANS(K77))*COS(RADIANS(F77))*COS(RADIANS(G77-L77)),SIN(RADIANS(G77-L77))*COS(RADIANS(F77))))+360,360),"N/A")</f>
        <v>28.729801941563665</v>
      </c>
      <c r="AL77" s="10" t="str">
        <f>IF(AND(ISNUMBER(F77),ISNUMBER(G77),ISNUMBER(M77),ISNUMBER(N77)),ACOS(MIN(1,COS(RADIANS(90-F77))*COS(RADIANS(90-M77))+SIN(RADIANS(90-F77))*SIN(RADIANS(90-M77))*COS(RADIANS(G77-N77))))*6371,"N/A")</f>
        <v>N/A</v>
      </c>
      <c r="AM77" s="10" t="str">
        <f>IF(AND(ISNUMBER(F77),ISNUMBER(G77),ISNUMBER(M77),ISNUMBER(N77)),MOD(DEGREES(ATAN2(COS(RADIANS(M77))*SIN(RADIANS(F77))-SIN(RADIANS(M77))*COS(RADIANS(F77))*COS(RADIANS(G77-N77)),SIN(RADIANS(G77-N77))*COS(RADIANS(F77))))+360,360),"N/A")</f>
        <v>N/A</v>
      </c>
      <c r="AN77" s="2"/>
      <c r="AO77" s="2"/>
    </row>
    <row r="78" spans="1:41" x14ac:dyDescent="0.2">
      <c r="A78" s="8" t="s">
        <v>821</v>
      </c>
      <c r="B78" s="4" t="s">
        <v>793</v>
      </c>
      <c r="C78" s="5" t="s">
        <v>340</v>
      </c>
      <c r="D78" s="4" t="s">
        <v>70</v>
      </c>
      <c r="E78" s="4" t="s">
        <v>101</v>
      </c>
      <c r="F78" s="6">
        <v>39.869399999999999</v>
      </c>
      <c r="G78" s="6">
        <v>17.149999999999999</v>
      </c>
      <c r="H78" s="7">
        <v>-995</v>
      </c>
      <c r="I78" s="4" t="s">
        <v>790</v>
      </c>
      <c r="J78" s="4" t="s">
        <v>53</v>
      </c>
      <c r="K78" s="6">
        <v>38.49</v>
      </c>
      <c r="L78" s="6">
        <v>14.933</v>
      </c>
      <c r="M78" s="5" t="s">
        <v>340</v>
      </c>
      <c r="N78" s="5" t="s">
        <v>340</v>
      </c>
      <c r="O78" s="4" t="s">
        <v>444</v>
      </c>
      <c r="P78" s="5">
        <v>3</v>
      </c>
      <c r="Q78" s="5" t="s">
        <v>340</v>
      </c>
      <c r="R78" s="4" t="s">
        <v>184</v>
      </c>
      <c r="S78" s="4" t="s">
        <v>1121</v>
      </c>
      <c r="T78" s="7">
        <v>7839</v>
      </c>
      <c r="U78" s="7">
        <v>8064</v>
      </c>
      <c r="V78" s="7">
        <v>8288</v>
      </c>
      <c r="W78" s="15" t="s">
        <v>1347</v>
      </c>
      <c r="X78" s="15" t="s">
        <v>1363</v>
      </c>
      <c r="Y78" s="7">
        <v>7770</v>
      </c>
      <c r="Z78" s="7">
        <v>70</v>
      </c>
      <c r="AA78" s="7" t="s">
        <v>340</v>
      </c>
      <c r="AB78" s="7" t="s">
        <v>340</v>
      </c>
      <c r="AC78" s="7" t="s">
        <v>340</v>
      </c>
      <c r="AD78" s="7" t="s">
        <v>340</v>
      </c>
      <c r="AE78" s="7" t="s">
        <v>340</v>
      </c>
      <c r="AF78" s="7" t="s">
        <v>340</v>
      </c>
      <c r="AG78" s="7" t="s">
        <v>340</v>
      </c>
      <c r="AH78" s="5">
        <v>1</v>
      </c>
      <c r="AI78" s="5">
        <v>1</v>
      </c>
      <c r="AJ78" s="9">
        <f>IF(AND(ISNUMBER(F78),ISNUMBER(G78),ISNUMBER(K78),ISNUMBER(L78)),ACOS(MIN(1,COS(RADIANS(90-F78))*COS(RADIANS(90-K78))+SIN(RADIANS(90-F78))*SIN(RADIANS(90-K78))*COS(RADIANS(G78-L78))))*6371,"N/A")</f>
        <v>245.02221630834262</v>
      </c>
      <c r="AK78" s="10">
        <f>IF(AND(ISNUMBER(F78),ISNUMBER(G78),ISNUMBER(K78),ISNUMBER(L78)),MOD(DEGREES(ATAN2(COS(RADIANS(K78))*SIN(RADIANS(F78))-SIN(RADIANS(K78))*COS(RADIANS(F78))*COS(RADIANS(G78-L78)),SIN(RADIANS(G78-L78))*COS(RADIANS(F78))))+360,360),"N/A")</f>
        <v>50.551345282807006</v>
      </c>
      <c r="AL78" s="10" t="str">
        <f>IF(AND(ISNUMBER(F78),ISNUMBER(G78),ISNUMBER(M78),ISNUMBER(N78)),ACOS(MIN(1,COS(RADIANS(90-F78))*COS(RADIANS(90-M78))+SIN(RADIANS(90-F78))*SIN(RADIANS(90-M78))*COS(RADIANS(G78-N78))))*6371,"N/A")</f>
        <v>N/A</v>
      </c>
      <c r="AM78" s="10" t="str">
        <f>IF(AND(ISNUMBER(F78),ISNUMBER(G78),ISNUMBER(M78),ISNUMBER(N78)),MOD(DEGREES(ATAN2(COS(RADIANS(M78))*SIN(RADIANS(F78))-SIN(RADIANS(M78))*COS(RADIANS(F78))*COS(RADIANS(G78-N78)),SIN(RADIANS(G78-N78))*COS(RADIANS(F78))))+360,360),"N/A")</f>
        <v>N/A</v>
      </c>
      <c r="AN78" s="2"/>
      <c r="AO78" s="2"/>
    </row>
    <row r="79" spans="1:41" x14ac:dyDescent="0.2">
      <c r="A79" s="8" t="s">
        <v>823</v>
      </c>
      <c r="B79" s="4" t="s">
        <v>793</v>
      </c>
      <c r="C79" s="5" t="s">
        <v>340</v>
      </c>
      <c r="D79" s="4" t="s">
        <v>70</v>
      </c>
      <c r="E79" s="4" t="s">
        <v>101</v>
      </c>
      <c r="F79" s="6">
        <v>39.869399999999999</v>
      </c>
      <c r="G79" s="6">
        <v>17.149999999999999</v>
      </c>
      <c r="H79" s="7">
        <v>-995</v>
      </c>
      <c r="I79" s="4" t="s">
        <v>790</v>
      </c>
      <c r="J79" s="4" t="s">
        <v>53</v>
      </c>
      <c r="K79" s="6">
        <v>38.49</v>
      </c>
      <c r="L79" s="6">
        <v>14.933</v>
      </c>
      <c r="M79" s="5" t="s">
        <v>340</v>
      </c>
      <c r="N79" s="5" t="s">
        <v>340</v>
      </c>
      <c r="O79" s="4" t="s">
        <v>444</v>
      </c>
      <c r="P79" s="5">
        <v>10</v>
      </c>
      <c r="Q79" s="5" t="s">
        <v>340</v>
      </c>
      <c r="R79" s="4" t="s">
        <v>184</v>
      </c>
      <c r="S79" s="4" t="s">
        <v>1121</v>
      </c>
      <c r="T79" s="7">
        <v>7839</v>
      </c>
      <c r="U79" s="7">
        <v>8064</v>
      </c>
      <c r="V79" s="7">
        <v>8288</v>
      </c>
      <c r="W79" s="15" t="s">
        <v>1347</v>
      </c>
      <c r="X79" s="15" t="s">
        <v>1363</v>
      </c>
      <c r="Y79" s="7">
        <v>7770</v>
      </c>
      <c r="Z79" s="7">
        <v>70</v>
      </c>
      <c r="AA79" s="7" t="s">
        <v>340</v>
      </c>
      <c r="AB79" s="7" t="s">
        <v>340</v>
      </c>
      <c r="AC79" s="7" t="s">
        <v>340</v>
      </c>
      <c r="AD79" s="7" t="s">
        <v>340</v>
      </c>
      <c r="AE79" s="7" t="s">
        <v>340</v>
      </c>
      <c r="AF79" s="7" t="s">
        <v>340</v>
      </c>
      <c r="AG79" s="7" t="s">
        <v>340</v>
      </c>
      <c r="AH79" s="5">
        <v>1</v>
      </c>
      <c r="AI79" s="5">
        <v>1</v>
      </c>
      <c r="AJ79" s="9">
        <f>IF(AND(ISNUMBER(F79),ISNUMBER(G79),ISNUMBER(K79),ISNUMBER(L79)),ACOS(MIN(1,COS(RADIANS(90-F79))*COS(RADIANS(90-K79))+SIN(RADIANS(90-F79))*SIN(RADIANS(90-K79))*COS(RADIANS(G79-L79))))*6371,"N/A")</f>
        <v>245.02221630834262</v>
      </c>
      <c r="AK79" s="10">
        <f>IF(AND(ISNUMBER(F79),ISNUMBER(G79),ISNUMBER(K79),ISNUMBER(L79)),MOD(DEGREES(ATAN2(COS(RADIANS(K79))*SIN(RADIANS(F79))-SIN(RADIANS(K79))*COS(RADIANS(F79))*COS(RADIANS(G79-L79)),SIN(RADIANS(G79-L79))*COS(RADIANS(F79))))+360,360),"N/A")</f>
        <v>50.551345282807006</v>
      </c>
      <c r="AL79" s="10" t="str">
        <f>IF(AND(ISNUMBER(F79),ISNUMBER(G79),ISNUMBER(M79),ISNUMBER(N79)),ACOS(MIN(1,COS(RADIANS(90-F79))*COS(RADIANS(90-M79))+SIN(RADIANS(90-F79))*SIN(RADIANS(90-M79))*COS(RADIANS(G79-N79))))*6371,"N/A")</f>
        <v>N/A</v>
      </c>
      <c r="AM79" s="10" t="str">
        <f>IF(AND(ISNUMBER(F79),ISNUMBER(G79),ISNUMBER(M79),ISNUMBER(N79)),MOD(DEGREES(ATAN2(COS(RADIANS(M79))*SIN(RADIANS(F79))-SIN(RADIANS(M79))*COS(RADIANS(F79))*COS(RADIANS(G79-N79)),SIN(RADIANS(G79-N79))*COS(RADIANS(F79))))+360,360),"N/A")</f>
        <v>N/A</v>
      </c>
      <c r="AN79" s="2"/>
      <c r="AO79" s="2"/>
    </row>
    <row r="80" spans="1:41" x14ac:dyDescent="0.2">
      <c r="A80" s="8" t="s">
        <v>818</v>
      </c>
      <c r="B80" s="4" t="s">
        <v>791</v>
      </c>
      <c r="C80" s="5" t="s">
        <v>340</v>
      </c>
      <c r="D80" s="4" t="s">
        <v>70</v>
      </c>
      <c r="E80" s="4" t="s">
        <v>89</v>
      </c>
      <c r="F80" s="6">
        <v>40.492199999999997</v>
      </c>
      <c r="G80" s="6">
        <v>14.7067</v>
      </c>
      <c r="H80" s="7">
        <v>-320</v>
      </c>
      <c r="I80" s="4" t="s">
        <v>790</v>
      </c>
      <c r="J80" s="4" t="s">
        <v>16</v>
      </c>
      <c r="K80" s="6">
        <v>40.820999999999998</v>
      </c>
      <c r="L80" s="6">
        <v>14.426</v>
      </c>
      <c r="M80" s="5" t="s">
        <v>340</v>
      </c>
      <c r="N80" s="5" t="s">
        <v>340</v>
      </c>
      <c r="O80" s="4" t="s">
        <v>830</v>
      </c>
      <c r="P80" s="5">
        <v>8</v>
      </c>
      <c r="Q80" s="5" t="s">
        <v>340</v>
      </c>
      <c r="R80" s="4" t="s">
        <v>184</v>
      </c>
      <c r="S80" s="4" t="s">
        <v>1121</v>
      </c>
      <c r="T80" s="7">
        <v>227</v>
      </c>
      <c r="U80" s="7">
        <v>227</v>
      </c>
      <c r="V80" s="7">
        <v>227</v>
      </c>
      <c r="W80" s="15" t="s">
        <v>898</v>
      </c>
      <c r="X80" s="15" t="s">
        <v>774</v>
      </c>
      <c r="Y80" s="7" t="s">
        <v>340</v>
      </c>
      <c r="Z80" s="7" t="s">
        <v>340</v>
      </c>
      <c r="AA80" s="7" t="s">
        <v>340</v>
      </c>
      <c r="AB80" s="7" t="s">
        <v>340</v>
      </c>
      <c r="AC80" s="7" t="s">
        <v>340</v>
      </c>
      <c r="AD80" s="7" t="s">
        <v>340</v>
      </c>
      <c r="AE80" s="7" t="s">
        <v>340</v>
      </c>
      <c r="AF80" s="7" t="s">
        <v>340</v>
      </c>
      <c r="AG80" s="7" t="s">
        <v>830</v>
      </c>
      <c r="AH80" s="5">
        <v>1</v>
      </c>
      <c r="AI80" s="5">
        <v>1</v>
      </c>
      <c r="AJ80" s="9">
        <f>IF(AND(ISNUMBER(F80),ISNUMBER(G80),ISNUMBER(K80),ISNUMBER(L80)),ACOS(MIN(1,COS(RADIANS(90-F80))*COS(RADIANS(90-K80))+SIN(RADIANS(90-F80))*SIN(RADIANS(90-K80))*COS(RADIANS(G80-L80))))*6371,"N/A")</f>
        <v>43.558812999388323</v>
      </c>
      <c r="AK80" s="10">
        <f>IF(AND(ISNUMBER(F80),ISNUMBER(G80),ISNUMBER(K80),ISNUMBER(L80)),MOD(DEGREES(ATAN2(COS(RADIANS(K80))*SIN(RADIANS(F80))-SIN(RADIANS(K80))*COS(RADIANS(F80))*COS(RADIANS(G80-L80)),SIN(RADIANS(G80-L80))*COS(RADIANS(F80))))+360,360),"N/A")</f>
        <v>146.97940972353956</v>
      </c>
      <c r="AL80" s="10" t="str">
        <f>IF(AND(ISNUMBER(F80),ISNUMBER(G80),ISNUMBER(M80),ISNUMBER(N80)),ACOS(MIN(1,COS(RADIANS(90-F80))*COS(RADIANS(90-M80))+SIN(RADIANS(90-F80))*SIN(RADIANS(90-M80))*COS(RADIANS(G80-N80))))*6371,"N/A")</f>
        <v>N/A</v>
      </c>
      <c r="AM80" s="10" t="str">
        <f>IF(AND(ISNUMBER(F80),ISNUMBER(G80),ISNUMBER(M80),ISNUMBER(N80)),MOD(DEGREES(ATAN2(COS(RADIANS(M80))*SIN(RADIANS(F80))-SIN(RADIANS(M80))*COS(RADIANS(F80))*COS(RADIANS(G80-N80)),SIN(RADIANS(G80-N80))*COS(RADIANS(F80))))+360,360),"N/A")</f>
        <v>N/A</v>
      </c>
      <c r="AN80" s="2"/>
      <c r="AO80" s="2"/>
    </row>
    <row r="81" spans="1:41" x14ac:dyDescent="0.2">
      <c r="A81" s="8" t="s">
        <v>828</v>
      </c>
      <c r="B81" s="4" t="s">
        <v>793</v>
      </c>
      <c r="C81" s="5" t="s">
        <v>340</v>
      </c>
      <c r="D81" s="4" t="s">
        <v>70</v>
      </c>
      <c r="E81" s="4" t="s">
        <v>101</v>
      </c>
      <c r="F81" s="6">
        <v>39.869399999999999</v>
      </c>
      <c r="G81" s="6">
        <v>17.149999999999999</v>
      </c>
      <c r="H81" s="7">
        <v>-995</v>
      </c>
      <c r="I81" s="4" t="s">
        <v>790</v>
      </c>
      <c r="J81" s="4" t="s">
        <v>16</v>
      </c>
      <c r="K81" s="6">
        <v>40.820999999999998</v>
      </c>
      <c r="L81" s="6">
        <v>14.426</v>
      </c>
      <c r="M81" s="5" t="s">
        <v>340</v>
      </c>
      <c r="N81" s="5" t="s">
        <v>340</v>
      </c>
      <c r="O81" s="4" t="s">
        <v>832</v>
      </c>
      <c r="P81" s="5">
        <v>8</v>
      </c>
      <c r="Q81" s="5" t="s">
        <v>340</v>
      </c>
      <c r="R81" s="4" t="s">
        <v>184</v>
      </c>
      <c r="S81" s="4" t="s">
        <v>1121</v>
      </c>
      <c r="T81" s="7">
        <v>171</v>
      </c>
      <c r="U81" s="7">
        <v>171</v>
      </c>
      <c r="V81" s="7">
        <v>171</v>
      </c>
      <c r="W81" s="15" t="s">
        <v>898</v>
      </c>
      <c r="X81" s="15" t="s">
        <v>774</v>
      </c>
      <c r="Y81" s="7" t="s">
        <v>340</v>
      </c>
      <c r="Z81" s="7" t="s">
        <v>340</v>
      </c>
      <c r="AA81" s="7" t="s">
        <v>340</v>
      </c>
      <c r="AB81" s="7" t="s">
        <v>340</v>
      </c>
      <c r="AC81" s="7" t="s">
        <v>340</v>
      </c>
      <c r="AD81" s="7" t="s">
        <v>340</v>
      </c>
      <c r="AE81" s="7" t="s">
        <v>340</v>
      </c>
      <c r="AF81" s="7" t="s">
        <v>340</v>
      </c>
      <c r="AG81" s="7" t="s">
        <v>832</v>
      </c>
      <c r="AH81" s="5">
        <v>1</v>
      </c>
      <c r="AI81" s="5">
        <v>1</v>
      </c>
      <c r="AJ81" s="9">
        <f>IF(AND(ISNUMBER(F81),ISNUMBER(G81),ISNUMBER(K81),ISNUMBER(L81)),ACOS(MIN(1,COS(RADIANS(90-F81))*COS(RADIANS(90-K81))+SIN(RADIANS(90-F81))*SIN(RADIANS(90-K81))*COS(RADIANS(G81-L81))))*6371,"N/A")</f>
        <v>253.93266143469293</v>
      </c>
      <c r="AK81" s="10">
        <f>IF(AND(ISNUMBER(F81),ISNUMBER(G81),ISNUMBER(K81),ISNUMBER(L81)),MOD(DEGREES(ATAN2(COS(RADIANS(K81))*SIN(RADIANS(F81))-SIN(RADIANS(K81))*COS(RADIANS(F81))*COS(RADIANS(G81-L81)),SIN(RADIANS(G81-L81))*COS(RADIANS(F81))))+360,360),"N/A")</f>
        <v>113.73840093392766</v>
      </c>
      <c r="AL81" s="10" t="str">
        <f>IF(AND(ISNUMBER(F81),ISNUMBER(G81),ISNUMBER(M81),ISNUMBER(N81)),ACOS(MIN(1,COS(RADIANS(90-F81))*COS(RADIANS(90-M81))+SIN(RADIANS(90-F81))*SIN(RADIANS(90-M81))*COS(RADIANS(G81-N81))))*6371,"N/A")</f>
        <v>N/A</v>
      </c>
      <c r="AM81" s="10" t="str">
        <f>IF(AND(ISNUMBER(F81),ISNUMBER(G81),ISNUMBER(M81),ISNUMBER(N81)),MOD(DEGREES(ATAN2(COS(RADIANS(M81))*SIN(RADIANS(F81))-SIN(RADIANS(M81))*COS(RADIANS(F81))*COS(RADIANS(G81-N81)),SIN(RADIANS(G81-N81))*COS(RADIANS(F81))))+360,360),"N/A")</f>
        <v>N/A</v>
      </c>
      <c r="AN81" s="2"/>
      <c r="AO81" s="2"/>
    </row>
    <row r="82" spans="1:41" x14ac:dyDescent="0.2">
      <c r="A82" s="8" t="s">
        <v>829</v>
      </c>
      <c r="B82" s="4" t="s">
        <v>793</v>
      </c>
      <c r="C82" s="5" t="s">
        <v>340</v>
      </c>
      <c r="D82" s="4" t="s">
        <v>70</v>
      </c>
      <c r="E82" s="4" t="s">
        <v>101</v>
      </c>
      <c r="F82" s="6">
        <v>39.869399999999999</v>
      </c>
      <c r="G82" s="6">
        <v>17.149999999999999</v>
      </c>
      <c r="H82" s="7">
        <v>-995</v>
      </c>
      <c r="I82" s="4" t="s">
        <v>790</v>
      </c>
      <c r="J82" s="4" t="s">
        <v>16</v>
      </c>
      <c r="K82" s="6">
        <v>40.820999999999998</v>
      </c>
      <c r="L82" s="6">
        <v>14.426</v>
      </c>
      <c r="M82" s="5" t="s">
        <v>340</v>
      </c>
      <c r="N82" s="5" t="s">
        <v>340</v>
      </c>
      <c r="O82" s="4" t="s">
        <v>833</v>
      </c>
      <c r="P82" s="5">
        <v>10</v>
      </c>
      <c r="Q82" s="5" t="s">
        <v>340</v>
      </c>
      <c r="R82" s="4" t="s">
        <v>184</v>
      </c>
      <c r="S82" s="4" t="s">
        <v>1121</v>
      </c>
      <c r="T82" s="7">
        <v>156</v>
      </c>
      <c r="U82" s="7">
        <v>156</v>
      </c>
      <c r="V82" s="7">
        <v>156</v>
      </c>
      <c r="W82" s="15" t="s">
        <v>898</v>
      </c>
      <c r="X82" s="15" t="s">
        <v>774</v>
      </c>
      <c r="Y82" s="7" t="s">
        <v>340</v>
      </c>
      <c r="Z82" s="7" t="s">
        <v>340</v>
      </c>
      <c r="AA82" s="7" t="s">
        <v>340</v>
      </c>
      <c r="AB82" s="7" t="s">
        <v>340</v>
      </c>
      <c r="AC82" s="7" t="s">
        <v>340</v>
      </c>
      <c r="AD82" s="7" t="s">
        <v>340</v>
      </c>
      <c r="AE82" s="7" t="s">
        <v>340</v>
      </c>
      <c r="AF82" s="7" t="s">
        <v>340</v>
      </c>
      <c r="AG82" s="7" t="s">
        <v>833</v>
      </c>
      <c r="AH82" s="5">
        <v>1</v>
      </c>
      <c r="AI82" s="5">
        <v>1</v>
      </c>
      <c r="AJ82" s="9">
        <f>IF(AND(ISNUMBER(F82),ISNUMBER(G82),ISNUMBER(K82),ISNUMBER(L82)),ACOS(MIN(1,COS(RADIANS(90-F82))*COS(RADIANS(90-K82))+SIN(RADIANS(90-F82))*SIN(RADIANS(90-K82))*COS(RADIANS(G82-L82))))*6371,"N/A")</f>
        <v>253.93266143469293</v>
      </c>
      <c r="AK82" s="10">
        <f>IF(AND(ISNUMBER(F82),ISNUMBER(G82),ISNUMBER(K82),ISNUMBER(L82)),MOD(DEGREES(ATAN2(COS(RADIANS(K82))*SIN(RADIANS(F82))-SIN(RADIANS(K82))*COS(RADIANS(F82))*COS(RADIANS(G82-L82)),SIN(RADIANS(G82-L82))*COS(RADIANS(F82))))+360,360),"N/A")</f>
        <v>113.73840093392766</v>
      </c>
      <c r="AL82" s="10" t="str">
        <f>IF(AND(ISNUMBER(F82),ISNUMBER(G82),ISNUMBER(M82),ISNUMBER(N82)),ACOS(MIN(1,COS(RADIANS(90-F82))*COS(RADIANS(90-M82))+SIN(RADIANS(90-F82))*SIN(RADIANS(90-M82))*COS(RADIANS(G82-N82))))*6371,"N/A")</f>
        <v>N/A</v>
      </c>
      <c r="AM82" s="10" t="str">
        <f>IF(AND(ISNUMBER(F82),ISNUMBER(G82),ISNUMBER(M82),ISNUMBER(N82)),MOD(DEGREES(ATAN2(COS(RADIANS(M82))*SIN(RADIANS(F82))-SIN(RADIANS(M82))*COS(RADIANS(F82))*COS(RADIANS(G82-N82)),SIN(RADIANS(G82-N82))*COS(RADIANS(F82))))+360,360),"N/A")</f>
        <v>N/A</v>
      </c>
      <c r="AN82" s="2"/>
      <c r="AO82" s="2"/>
    </row>
    <row r="83" spans="1:41" x14ac:dyDescent="0.2">
      <c r="A83" s="4" t="s">
        <v>800</v>
      </c>
      <c r="B83" s="4" t="s">
        <v>792</v>
      </c>
      <c r="C83" s="5" t="s">
        <v>340</v>
      </c>
      <c r="D83" s="4" t="s">
        <v>70</v>
      </c>
      <c r="E83" s="4" t="s">
        <v>89</v>
      </c>
      <c r="F83" s="6">
        <v>39.664900000000003</v>
      </c>
      <c r="G83" s="6">
        <v>15.771699999999999</v>
      </c>
      <c r="H83" s="7">
        <v>-91</v>
      </c>
      <c r="I83" s="4" t="s">
        <v>790</v>
      </c>
      <c r="J83" s="4" t="s">
        <v>16</v>
      </c>
      <c r="K83" s="6">
        <v>40.820999999999998</v>
      </c>
      <c r="L83" s="6">
        <v>14.426</v>
      </c>
      <c r="M83" s="5" t="s">
        <v>340</v>
      </c>
      <c r="N83" s="5" t="s">
        <v>340</v>
      </c>
      <c r="O83" s="4" t="s">
        <v>879</v>
      </c>
      <c r="P83" s="5">
        <v>31</v>
      </c>
      <c r="Q83" s="5" t="s">
        <v>340</v>
      </c>
      <c r="R83" s="4" t="s">
        <v>184</v>
      </c>
      <c r="S83" s="4" t="s">
        <v>1121</v>
      </c>
      <c r="T83" s="7">
        <v>1871</v>
      </c>
      <c r="U83" s="7">
        <v>1871</v>
      </c>
      <c r="V83" s="7">
        <v>1871</v>
      </c>
      <c r="W83" s="15" t="s">
        <v>898</v>
      </c>
      <c r="X83" s="15" t="s">
        <v>332</v>
      </c>
      <c r="Y83" s="7" t="s">
        <v>340</v>
      </c>
      <c r="Z83" s="7" t="s">
        <v>340</v>
      </c>
      <c r="AA83" s="7" t="s">
        <v>340</v>
      </c>
      <c r="AB83" s="7" t="s">
        <v>340</v>
      </c>
      <c r="AC83" s="7" t="s">
        <v>340</v>
      </c>
      <c r="AD83" s="7" t="s">
        <v>340</v>
      </c>
      <c r="AE83" s="7" t="s">
        <v>340</v>
      </c>
      <c r="AF83" s="7" t="s">
        <v>340</v>
      </c>
      <c r="AG83" s="7" t="s">
        <v>905</v>
      </c>
      <c r="AH83" s="5">
        <v>1</v>
      </c>
      <c r="AI83" s="5">
        <v>1</v>
      </c>
      <c r="AJ83" s="9">
        <f>IF(AND(ISNUMBER(F83),ISNUMBER(G83),ISNUMBER(K83),ISNUMBER(L83)),ACOS(MIN(1,COS(RADIANS(90-F83))*COS(RADIANS(90-K83))+SIN(RADIANS(90-F83))*SIN(RADIANS(90-K83))*COS(RADIANS(G83-L83))))*6371,"N/A")</f>
        <v>171.95896533284991</v>
      </c>
      <c r="AK83" s="10">
        <f>IF(AND(ISNUMBER(F83),ISNUMBER(G83),ISNUMBER(K83),ISNUMBER(L83)),MOD(DEGREES(ATAN2(COS(RADIANS(K83))*SIN(RADIANS(F83))-SIN(RADIANS(K83))*COS(RADIANS(F83))*COS(RADIANS(G83-L83)),SIN(RADIANS(G83-L83))*COS(RADIANS(F83))))+360,360),"N/A")</f>
        <v>137.94256895599062</v>
      </c>
      <c r="AL83" s="10" t="str">
        <f>IF(AND(ISNUMBER(F83),ISNUMBER(G83),ISNUMBER(M83),ISNUMBER(N83)),ACOS(MIN(1,COS(RADIANS(90-F83))*COS(RADIANS(90-M83))+SIN(RADIANS(90-F83))*SIN(RADIANS(90-M83))*COS(RADIANS(G83-N83))))*6371,"N/A")</f>
        <v>N/A</v>
      </c>
      <c r="AM83" s="10" t="str">
        <f>IF(AND(ISNUMBER(F83),ISNUMBER(G83),ISNUMBER(M83),ISNUMBER(N83)),MOD(DEGREES(ATAN2(COS(RADIANS(M83))*SIN(RADIANS(F83))-SIN(RADIANS(M83))*COS(RADIANS(F83))*COS(RADIANS(G83-N83)),SIN(RADIANS(G83-N83))*COS(RADIANS(F83))))+360,360),"N/A")</f>
        <v>N/A</v>
      </c>
      <c r="AN83" s="2"/>
      <c r="AO83" s="2"/>
    </row>
    <row r="84" spans="1:41" x14ac:dyDescent="0.2">
      <c r="A84" s="8" t="s">
        <v>825</v>
      </c>
      <c r="B84" s="4" t="s">
        <v>793</v>
      </c>
      <c r="C84" s="5" t="s">
        <v>340</v>
      </c>
      <c r="D84" s="4" t="s">
        <v>70</v>
      </c>
      <c r="E84" s="4" t="s">
        <v>101</v>
      </c>
      <c r="F84" s="6">
        <v>39.869399999999999</v>
      </c>
      <c r="G84" s="6">
        <v>17.149999999999999</v>
      </c>
      <c r="H84" s="7">
        <v>-995</v>
      </c>
      <c r="I84" s="4" t="s">
        <v>790</v>
      </c>
      <c r="J84" s="4" t="s">
        <v>16</v>
      </c>
      <c r="K84" s="6">
        <v>40.820999999999998</v>
      </c>
      <c r="L84" s="6">
        <v>14.426</v>
      </c>
      <c r="M84" s="5" t="s">
        <v>340</v>
      </c>
      <c r="N84" s="5" t="s">
        <v>340</v>
      </c>
      <c r="O84" s="4" t="s">
        <v>879</v>
      </c>
      <c r="P84" s="5">
        <v>7</v>
      </c>
      <c r="Q84" s="5" t="s">
        <v>340</v>
      </c>
      <c r="R84" s="4" t="s">
        <v>184</v>
      </c>
      <c r="S84" s="4" t="s">
        <v>1121</v>
      </c>
      <c r="T84" s="7">
        <v>1871</v>
      </c>
      <c r="U84" s="7">
        <v>1871</v>
      </c>
      <c r="V84" s="7">
        <v>1871</v>
      </c>
      <c r="W84" s="15" t="s">
        <v>898</v>
      </c>
      <c r="X84" s="15" t="s">
        <v>332</v>
      </c>
      <c r="Y84" s="7" t="s">
        <v>340</v>
      </c>
      <c r="Z84" s="7" t="s">
        <v>340</v>
      </c>
      <c r="AA84" s="7" t="s">
        <v>340</v>
      </c>
      <c r="AB84" s="7" t="s">
        <v>340</v>
      </c>
      <c r="AC84" s="7" t="s">
        <v>340</v>
      </c>
      <c r="AD84" s="7" t="s">
        <v>340</v>
      </c>
      <c r="AE84" s="7" t="s">
        <v>340</v>
      </c>
      <c r="AF84" s="7" t="s">
        <v>340</v>
      </c>
      <c r="AG84" s="7" t="s">
        <v>905</v>
      </c>
      <c r="AH84" s="5">
        <v>1</v>
      </c>
      <c r="AI84" s="5">
        <v>1</v>
      </c>
      <c r="AJ84" s="9">
        <f>IF(AND(ISNUMBER(F84),ISNUMBER(G84),ISNUMBER(K84),ISNUMBER(L84)),ACOS(MIN(1,COS(RADIANS(90-F84))*COS(RADIANS(90-K84))+SIN(RADIANS(90-F84))*SIN(RADIANS(90-K84))*COS(RADIANS(G84-L84))))*6371,"N/A")</f>
        <v>253.93266143469293</v>
      </c>
      <c r="AK84" s="10">
        <f>IF(AND(ISNUMBER(F84),ISNUMBER(G84),ISNUMBER(K84),ISNUMBER(L84)),MOD(DEGREES(ATAN2(COS(RADIANS(K84))*SIN(RADIANS(F84))-SIN(RADIANS(K84))*COS(RADIANS(F84))*COS(RADIANS(G84-L84)),SIN(RADIANS(G84-L84))*COS(RADIANS(F84))))+360,360),"N/A")</f>
        <v>113.73840093392766</v>
      </c>
      <c r="AL84" s="10" t="str">
        <f>IF(AND(ISNUMBER(F84),ISNUMBER(G84),ISNUMBER(M84),ISNUMBER(N84)),ACOS(MIN(1,COS(RADIANS(90-F84))*COS(RADIANS(90-M84))+SIN(RADIANS(90-F84))*SIN(RADIANS(90-M84))*COS(RADIANS(G84-N84))))*6371,"N/A")</f>
        <v>N/A</v>
      </c>
      <c r="AM84" s="10" t="str">
        <f>IF(AND(ISNUMBER(F84),ISNUMBER(G84),ISNUMBER(M84),ISNUMBER(N84)),MOD(DEGREES(ATAN2(COS(RADIANS(M84))*SIN(RADIANS(F84))-SIN(RADIANS(M84))*COS(RADIANS(F84))*COS(RADIANS(G84-N84)),SIN(RADIANS(G84-N84))*COS(RADIANS(F84))))+360,360),"N/A")</f>
        <v>N/A</v>
      </c>
      <c r="AN84" s="2"/>
      <c r="AO84" s="2"/>
    </row>
    <row r="85" spans="1:41" x14ac:dyDescent="0.2">
      <c r="A85" s="4" t="s">
        <v>799</v>
      </c>
      <c r="B85" s="4" t="s">
        <v>792</v>
      </c>
      <c r="C85" s="5" t="s">
        <v>340</v>
      </c>
      <c r="D85" s="4" t="s">
        <v>70</v>
      </c>
      <c r="E85" s="4" t="s">
        <v>89</v>
      </c>
      <c r="F85" s="6">
        <v>39.664900000000003</v>
      </c>
      <c r="G85" s="6">
        <v>15.771699999999999</v>
      </c>
      <c r="H85" s="7">
        <v>-91</v>
      </c>
      <c r="I85" s="4" t="s">
        <v>790</v>
      </c>
      <c r="J85" s="4" t="s">
        <v>16</v>
      </c>
      <c r="K85" s="6">
        <v>40.820999999999998</v>
      </c>
      <c r="L85" s="6">
        <v>14.426</v>
      </c>
      <c r="M85" s="5" t="s">
        <v>340</v>
      </c>
      <c r="N85" s="5" t="s">
        <v>340</v>
      </c>
      <c r="O85" s="4" t="s">
        <v>38</v>
      </c>
      <c r="P85" s="5">
        <v>15</v>
      </c>
      <c r="Q85" s="5" t="s">
        <v>340</v>
      </c>
      <c r="R85" s="4" t="s">
        <v>184</v>
      </c>
      <c r="S85" s="4" t="s">
        <v>1121</v>
      </c>
      <c r="T85" s="7" t="s">
        <v>920</v>
      </c>
      <c r="U85" s="7">
        <v>3839</v>
      </c>
      <c r="V85" s="7" t="s">
        <v>921</v>
      </c>
      <c r="W85" s="15" t="s">
        <v>922</v>
      </c>
      <c r="X85" s="21" t="s">
        <v>919</v>
      </c>
      <c r="Y85" s="7" t="s">
        <v>340</v>
      </c>
      <c r="Z85" s="7" t="s">
        <v>340</v>
      </c>
      <c r="AA85" s="7" t="s">
        <v>340</v>
      </c>
      <c r="AB85" s="7" t="s">
        <v>340</v>
      </c>
      <c r="AC85" s="7">
        <v>4310</v>
      </c>
      <c r="AD85" s="7">
        <v>220</v>
      </c>
      <c r="AE85" s="7">
        <v>3839</v>
      </c>
      <c r="AF85" s="7">
        <v>21</v>
      </c>
      <c r="AG85" s="7" t="s">
        <v>340</v>
      </c>
      <c r="AH85" s="5">
        <v>1</v>
      </c>
      <c r="AI85" s="5">
        <v>1</v>
      </c>
      <c r="AJ85" s="9">
        <f>IF(AND(ISNUMBER(F85),ISNUMBER(G85),ISNUMBER(K85),ISNUMBER(L85)),ACOS(MIN(1,COS(RADIANS(90-F85))*COS(RADIANS(90-K85))+SIN(RADIANS(90-F85))*SIN(RADIANS(90-K85))*COS(RADIANS(G85-L85))))*6371,"N/A")</f>
        <v>171.95896533284991</v>
      </c>
      <c r="AK85" s="10">
        <f>IF(AND(ISNUMBER(F85),ISNUMBER(G85),ISNUMBER(K85),ISNUMBER(L85)),MOD(DEGREES(ATAN2(COS(RADIANS(K85))*SIN(RADIANS(F85))-SIN(RADIANS(K85))*COS(RADIANS(F85))*COS(RADIANS(G85-L85)),SIN(RADIANS(G85-L85))*COS(RADIANS(F85))))+360,360),"N/A")</f>
        <v>137.94256895599062</v>
      </c>
      <c r="AL85" s="10" t="str">
        <f>IF(AND(ISNUMBER(F85),ISNUMBER(G85),ISNUMBER(M85),ISNUMBER(N85)),ACOS(MIN(1,COS(RADIANS(90-F85))*COS(RADIANS(90-M85))+SIN(RADIANS(90-F85))*SIN(RADIANS(90-M85))*COS(RADIANS(G85-N85))))*6371,"N/A")</f>
        <v>N/A</v>
      </c>
      <c r="AM85" s="10" t="str">
        <f>IF(AND(ISNUMBER(F85),ISNUMBER(G85),ISNUMBER(M85),ISNUMBER(N85)),MOD(DEGREES(ATAN2(COS(RADIANS(M85))*SIN(RADIANS(F85))-SIN(RADIANS(M85))*COS(RADIANS(F85))*COS(RADIANS(G85-N85)),SIN(RADIANS(G85-N85))*COS(RADIANS(F85))))+360,360),"N/A")</f>
        <v>N/A</v>
      </c>
      <c r="AN85" s="2"/>
      <c r="AO85" s="2"/>
    </row>
    <row r="86" spans="1:41" x14ac:dyDescent="0.2">
      <c r="A86" s="8" t="s">
        <v>820</v>
      </c>
      <c r="B86" s="4" t="s">
        <v>793</v>
      </c>
      <c r="C86" s="5" t="s">
        <v>340</v>
      </c>
      <c r="D86" s="4" t="s">
        <v>70</v>
      </c>
      <c r="E86" s="4" t="s">
        <v>101</v>
      </c>
      <c r="F86" s="6">
        <v>39.869399999999999</v>
      </c>
      <c r="G86" s="6">
        <v>17.149999999999999</v>
      </c>
      <c r="H86" s="7">
        <v>-995</v>
      </c>
      <c r="I86" s="4" t="s">
        <v>790</v>
      </c>
      <c r="J86" s="4" t="s">
        <v>16</v>
      </c>
      <c r="K86" s="6">
        <v>40.820999999999998</v>
      </c>
      <c r="L86" s="6">
        <v>14.426</v>
      </c>
      <c r="M86" s="5" t="s">
        <v>340</v>
      </c>
      <c r="N86" s="5" t="s">
        <v>340</v>
      </c>
      <c r="O86" s="4" t="s">
        <v>229</v>
      </c>
      <c r="P86" s="5">
        <v>21</v>
      </c>
      <c r="Q86" s="5" t="s">
        <v>340</v>
      </c>
      <c r="R86" s="4" t="s">
        <v>184</v>
      </c>
      <c r="S86" s="4" t="s">
        <v>867</v>
      </c>
      <c r="T86" s="12">
        <v>8723</v>
      </c>
      <c r="U86" s="7">
        <v>8866</v>
      </c>
      <c r="V86" s="12">
        <v>9009</v>
      </c>
      <c r="W86" s="15" t="s">
        <v>1117</v>
      </c>
      <c r="X86" s="21" t="s">
        <v>1360</v>
      </c>
      <c r="Y86" s="7">
        <v>8010</v>
      </c>
      <c r="Z86" s="7">
        <v>35</v>
      </c>
      <c r="AA86" s="7" t="s">
        <v>340</v>
      </c>
      <c r="AB86" s="7" t="s">
        <v>340</v>
      </c>
      <c r="AC86" s="7">
        <v>9680</v>
      </c>
      <c r="AD86" s="7">
        <v>480</v>
      </c>
      <c r="AE86" s="7" t="s">
        <v>340</v>
      </c>
      <c r="AF86" s="7" t="s">
        <v>340</v>
      </c>
      <c r="AG86" s="7" t="s">
        <v>340</v>
      </c>
      <c r="AH86" s="5">
        <v>1</v>
      </c>
      <c r="AI86" s="5">
        <v>1</v>
      </c>
      <c r="AJ86" s="9">
        <f>IF(AND(ISNUMBER(F86),ISNUMBER(G86),ISNUMBER(K86),ISNUMBER(L86)),ACOS(MIN(1,COS(RADIANS(90-F86))*COS(RADIANS(90-K86))+SIN(RADIANS(90-F86))*SIN(RADIANS(90-K86))*COS(RADIANS(G86-L86))))*6371,"N/A")</f>
        <v>253.93266143469293</v>
      </c>
      <c r="AK86" s="10">
        <f>IF(AND(ISNUMBER(F86),ISNUMBER(G86),ISNUMBER(K86),ISNUMBER(L86)),MOD(DEGREES(ATAN2(COS(RADIANS(K86))*SIN(RADIANS(F86))-SIN(RADIANS(K86))*COS(RADIANS(F86))*COS(RADIANS(G86-L86)),SIN(RADIANS(G86-L86))*COS(RADIANS(F86))))+360,360),"N/A")</f>
        <v>113.73840093392766</v>
      </c>
      <c r="AL86" s="10" t="str">
        <f>IF(AND(ISNUMBER(F86),ISNUMBER(G86),ISNUMBER(M86),ISNUMBER(N86)),ACOS(MIN(1,COS(RADIANS(90-F86))*COS(RADIANS(90-M86))+SIN(RADIANS(90-F86))*SIN(RADIANS(90-M86))*COS(RADIANS(G86-N86))))*6371,"N/A")</f>
        <v>N/A</v>
      </c>
      <c r="AM86" s="10" t="str">
        <f>IF(AND(ISNUMBER(F86),ISNUMBER(G86),ISNUMBER(M86),ISNUMBER(N86)),MOD(DEGREES(ATAN2(COS(RADIANS(M86))*SIN(RADIANS(F86))-SIN(RADIANS(M86))*COS(RADIANS(F86))*COS(RADIANS(G86-N86)),SIN(RADIANS(G86-N86))*COS(RADIANS(F86))))+360,360),"N/A")</f>
        <v>N/A</v>
      </c>
      <c r="AN86" s="2"/>
      <c r="AO86" s="2"/>
    </row>
    <row r="87" spans="1:41" x14ac:dyDescent="0.2">
      <c r="A87" s="8" t="s">
        <v>822</v>
      </c>
      <c r="B87" s="4" t="s">
        <v>793</v>
      </c>
      <c r="C87" s="5" t="s">
        <v>340</v>
      </c>
      <c r="D87" s="4" t="s">
        <v>70</v>
      </c>
      <c r="E87" s="4" t="s">
        <v>101</v>
      </c>
      <c r="F87" s="6">
        <v>39.869399999999999</v>
      </c>
      <c r="G87" s="6">
        <v>17.149999999999999</v>
      </c>
      <c r="H87" s="7">
        <v>-995</v>
      </c>
      <c r="I87" s="4" t="s">
        <v>790</v>
      </c>
      <c r="J87" s="4" t="s">
        <v>16</v>
      </c>
      <c r="K87" s="6">
        <v>40.820999999999998</v>
      </c>
      <c r="L87" s="6">
        <v>14.426</v>
      </c>
      <c r="M87" s="5" t="s">
        <v>340</v>
      </c>
      <c r="N87" s="5" t="s">
        <v>340</v>
      </c>
      <c r="O87" s="4" t="s">
        <v>229</v>
      </c>
      <c r="P87" s="5">
        <v>6</v>
      </c>
      <c r="Q87" s="5" t="s">
        <v>340</v>
      </c>
      <c r="R87" s="4" t="s">
        <v>184</v>
      </c>
      <c r="S87" s="4" t="s">
        <v>1121</v>
      </c>
      <c r="T87" s="12">
        <v>8723</v>
      </c>
      <c r="U87" s="7">
        <v>8866</v>
      </c>
      <c r="V87" s="12">
        <v>9009</v>
      </c>
      <c r="W87" s="15" t="s">
        <v>1117</v>
      </c>
      <c r="X87" s="21" t="s">
        <v>1360</v>
      </c>
      <c r="Y87" s="7">
        <v>8010</v>
      </c>
      <c r="Z87" s="7">
        <v>35</v>
      </c>
      <c r="AA87" s="7" t="s">
        <v>340</v>
      </c>
      <c r="AB87" s="7" t="s">
        <v>340</v>
      </c>
      <c r="AC87" s="7">
        <v>9680</v>
      </c>
      <c r="AD87" s="7">
        <v>480</v>
      </c>
      <c r="AE87" s="7" t="s">
        <v>340</v>
      </c>
      <c r="AF87" s="7" t="s">
        <v>340</v>
      </c>
      <c r="AG87" s="7" t="s">
        <v>340</v>
      </c>
      <c r="AH87" s="5">
        <v>1</v>
      </c>
      <c r="AI87" s="5">
        <v>1</v>
      </c>
      <c r="AJ87" s="9">
        <f>IF(AND(ISNUMBER(F87),ISNUMBER(G87),ISNUMBER(K87),ISNUMBER(L87)),ACOS(MIN(1,COS(RADIANS(90-F87))*COS(RADIANS(90-K87))+SIN(RADIANS(90-F87))*SIN(RADIANS(90-K87))*COS(RADIANS(G87-L87))))*6371,"N/A")</f>
        <v>253.93266143469293</v>
      </c>
      <c r="AK87" s="10">
        <f>IF(AND(ISNUMBER(F87),ISNUMBER(G87),ISNUMBER(K87),ISNUMBER(L87)),MOD(DEGREES(ATAN2(COS(RADIANS(K87))*SIN(RADIANS(F87))-SIN(RADIANS(K87))*COS(RADIANS(F87))*COS(RADIANS(G87-L87)),SIN(RADIANS(G87-L87))*COS(RADIANS(F87))))+360,360),"N/A")</f>
        <v>113.73840093392766</v>
      </c>
      <c r="AL87" s="10" t="str">
        <f>IF(AND(ISNUMBER(F87),ISNUMBER(G87),ISNUMBER(M87),ISNUMBER(N87)),ACOS(MIN(1,COS(RADIANS(90-F87))*COS(RADIANS(90-M87))+SIN(RADIANS(90-F87))*SIN(RADIANS(90-M87))*COS(RADIANS(G87-N87))))*6371,"N/A")</f>
        <v>N/A</v>
      </c>
      <c r="AM87" s="10" t="str">
        <f>IF(AND(ISNUMBER(F87),ISNUMBER(G87),ISNUMBER(M87),ISNUMBER(N87)),MOD(DEGREES(ATAN2(COS(RADIANS(M87))*SIN(RADIANS(F87))-SIN(RADIANS(M87))*COS(RADIANS(F87))*COS(RADIANS(G87-N87)),SIN(RADIANS(G87-N87))*COS(RADIANS(F87))))+360,360),"N/A")</f>
        <v>N/A</v>
      </c>
      <c r="AN87" s="2"/>
      <c r="AO87" s="2"/>
    </row>
    <row r="88" spans="1:41" x14ac:dyDescent="0.2">
      <c r="A88" s="8" t="s">
        <v>826</v>
      </c>
      <c r="B88" s="4" t="s">
        <v>793</v>
      </c>
      <c r="C88" s="5" t="s">
        <v>340</v>
      </c>
      <c r="D88" s="4" t="s">
        <v>70</v>
      </c>
      <c r="E88" s="4" t="s">
        <v>101</v>
      </c>
      <c r="F88" s="6">
        <v>39.869399999999999</v>
      </c>
      <c r="G88" s="6">
        <v>17.149999999999999</v>
      </c>
      <c r="H88" s="7">
        <v>-995</v>
      </c>
      <c r="I88" s="4" t="s">
        <v>790</v>
      </c>
      <c r="J88" s="4" t="s">
        <v>53</v>
      </c>
      <c r="K88" s="6">
        <v>38.49</v>
      </c>
      <c r="L88" s="6">
        <v>14.933</v>
      </c>
      <c r="M88" s="5" t="s">
        <v>340</v>
      </c>
      <c r="N88" s="5" t="s">
        <v>340</v>
      </c>
      <c r="O88" s="4" t="s">
        <v>1000</v>
      </c>
      <c r="P88" s="5">
        <v>9</v>
      </c>
      <c r="Q88" s="5" t="s">
        <v>340</v>
      </c>
      <c r="R88" s="4" t="s">
        <v>184</v>
      </c>
      <c r="S88" s="4" t="s">
        <v>1124</v>
      </c>
      <c r="T88" s="7">
        <v>680</v>
      </c>
      <c r="U88" s="7">
        <f>AVERAGE(T88,V88)</f>
        <v>935</v>
      </c>
      <c r="V88" s="7">
        <v>1190</v>
      </c>
      <c r="W88" s="15" t="s">
        <v>1096</v>
      </c>
      <c r="X88" s="15" t="s">
        <v>992</v>
      </c>
      <c r="Y88" s="7" t="s">
        <v>340</v>
      </c>
      <c r="Z88" s="7" t="s">
        <v>340</v>
      </c>
      <c r="AA88" s="7">
        <v>1220</v>
      </c>
      <c r="AB88" s="2">
        <v>30</v>
      </c>
      <c r="AC88" s="7" t="s">
        <v>340</v>
      </c>
      <c r="AD88" s="7" t="s">
        <v>340</v>
      </c>
      <c r="AE88" s="7" t="s">
        <v>340</v>
      </c>
      <c r="AF88" s="7" t="s">
        <v>340</v>
      </c>
      <c r="AG88" s="7" t="s">
        <v>340</v>
      </c>
      <c r="AH88" s="5">
        <v>1</v>
      </c>
      <c r="AI88" s="5">
        <v>1</v>
      </c>
      <c r="AJ88" s="9">
        <f>IF(AND(ISNUMBER(F88),ISNUMBER(G88),ISNUMBER(K88),ISNUMBER(L88)),ACOS(MIN(1,COS(RADIANS(90-F88))*COS(RADIANS(90-K88))+SIN(RADIANS(90-F88))*SIN(RADIANS(90-K88))*COS(RADIANS(G88-L88))))*6371,"N/A")</f>
        <v>245.02221630834262</v>
      </c>
      <c r="AK88" s="10">
        <f>IF(AND(ISNUMBER(F88),ISNUMBER(G88),ISNUMBER(K88),ISNUMBER(L88)),MOD(DEGREES(ATAN2(COS(RADIANS(K88))*SIN(RADIANS(F88))-SIN(RADIANS(K88))*COS(RADIANS(F88))*COS(RADIANS(G88-L88)),SIN(RADIANS(G88-L88))*COS(RADIANS(F88))))+360,360),"N/A")</f>
        <v>50.551345282807006</v>
      </c>
      <c r="AL88" s="10" t="str">
        <f>IF(AND(ISNUMBER(F88),ISNUMBER(G88),ISNUMBER(M88),ISNUMBER(N88)),ACOS(MIN(1,COS(RADIANS(90-F88))*COS(RADIANS(90-M88))+SIN(RADIANS(90-F88))*SIN(RADIANS(90-M88))*COS(RADIANS(G88-N88))))*6371,"N/A")</f>
        <v>N/A</v>
      </c>
      <c r="AM88" s="10" t="str">
        <f>IF(AND(ISNUMBER(F88),ISNUMBER(G88),ISNUMBER(M88),ISNUMBER(N88)),MOD(DEGREES(ATAN2(COS(RADIANS(M88))*SIN(RADIANS(F88))-SIN(RADIANS(M88))*COS(RADIANS(F88))*COS(RADIANS(G88-N88)),SIN(RADIANS(G88-N88))*COS(RADIANS(F88))))+360,360),"N/A")</f>
        <v>N/A</v>
      </c>
      <c r="AN88" s="2"/>
      <c r="AO88" s="2"/>
    </row>
    <row r="89" spans="1:41" x14ac:dyDescent="0.2">
      <c r="A89" s="8" t="s">
        <v>827</v>
      </c>
      <c r="B89" s="4" t="s">
        <v>793</v>
      </c>
      <c r="C89" s="5" t="s">
        <v>340</v>
      </c>
      <c r="D89" s="4" t="s">
        <v>70</v>
      </c>
      <c r="E89" s="4" t="s">
        <v>101</v>
      </c>
      <c r="F89" s="6">
        <v>39.869399999999999</v>
      </c>
      <c r="G89" s="6">
        <v>17.149999999999999</v>
      </c>
      <c r="H89" s="7">
        <v>-995</v>
      </c>
      <c r="I89" s="4" t="s">
        <v>790</v>
      </c>
      <c r="J89" s="4" t="s">
        <v>53</v>
      </c>
      <c r="K89" s="6">
        <v>38.49</v>
      </c>
      <c r="L89" s="6">
        <v>14.933</v>
      </c>
      <c r="M89" s="5" t="s">
        <v>340</v>
      </c>
      <c r="N89" s="5" t="s">
        <v>340</v>
      </c>
      <c r="O89" s="4" t="s">
        <v>1000</v>
      </c>
      <c r="P89" s="5">
        <v>10</v>
      </c>
      <c r="Q89" s="5" t="s">
        <v>340</v>
      </c>
      <c r="R89" s="4" t="s">
        <v>184</v>
      </c>
      <c r="S89" s="4" t="s">
        <v>1124</v>
      </c>
      <c r="T89" s="7">
        <v>680</v>
      </c>
      <c r="U89" s="7">
        <f>AVERAGE(T89,V89)</f>
        <v>935</v>
      </c>
      <c r="V89" s="7">
        <v>1190</v>
      </c>
      <c r="W89" s="15" t="s">
        <v>1096</v>
      </c>
      <c r="X89" s="15" t="s">
        <v>992</v>
      </c>
      <c r="Y89" s="7" t="s">
        <v>340</v>
      </c>
      <c r="Z89" s="7" t="s">
        <v>340</v>
      </c>
      <c r="AA89" s="7">
        <v>1220</v>
      </c>
      <c r="AB89" s="2">
        <v>30</v>
      </c>
      <c r="AC89" s="7" t="s">
        <v>340</v>
      </c>
      <c r="AD89" s="7" t="s">
        <v>340</v>
      </c>
      <c r="AE89" s="7" t="s">
        <v>340</v>
      </c>
      <c r="AF89" s="7" t="s">
        <v>340</v>
      </c>
      <c r="AG89" s="7" t="s">
        <v>340</v>
      </c>
      <c r="AH89" s="5">
        <v>1</v>
      </c>
      <c r="AI89" s="5">
        <v>1</v>
      </c>
      <c r="AJ89" s="9">
        <f>IF(AND(ISNUMBER(F89),ISNUMBER(G89),ISNUMBER(K89),ISNUMBER(L89)),ACOS(MIN(1,COS(RADIANS(90-F89))*COS(RADIANS(90-K89))+SIN(RADIANS(90-F89))*SIN(RADIANS(90-K89))*COS(RADIANS(G89-L89))))*6371,"N/A")</f>
        <v>245.02221630834262</v>
      </c>
      <c r="AK89" s="10">
        <f>IF(AND(ISNUMBER(F89),ISNUMBER(G89),ISNUMBER(K89),ISNUMBER(L89)),MOD(DEGREES(ATAN2(COS(RADIANS(K89))*SIN(RADIANS(F89))-SIN(RADIANS(K89))*COS(RADIANS(F89))*COS(RADIANS(G89-L89)),SIN(RADIANS(G89-L89))*COS(RADIANS(F89))))+360,360),"N/A")</f>
        <v>50.551345282807006</v>
      </c>
      <c r="AL89" s="10" t="str">
        <f>IF(AND(ISNUMBER(F89),ISNUMBER(G89),ISNUMBER(M89),ISNUMBER(N89)),ACOS(MIN(1,COS(RADIANS(90-F89))*COS(RADIANS(90-M89))+SIN(RADIANS(90-F89))*SIN(RADIANS(90-M89))*COS(RADIANS(G89-N89))))*6371,"N/A")</f>
        <v>N/A</v>
      </c>
      <c r="AM89" s="10" t="str">
        <f>IF(AND(ISNUMBER(F89),ISNUMBER(G89),ISNUMBER(M89),ISNUMBER(N89)),MOD(DEGREES(ATAN2(COS(RADIANS(M89))*SIN(RADIANS(F89))-SIN(RADIANS(M89))*COS(RADIANS(F89))*COS(RADIANS(G89-N89)),SIN(RADIANS(G89-N89))*COS(RADIANS(F89))))+360,360),"N/A")</f>
        <v>N/A</v>
      </c>
      <c r="AN89" s="2"/>
      <c r="AO89" s="2"/>
    </row>
    <row r="90" spans="1:41" x14ac:dyDescent="0.2">
      <c r="A90" s="8" t="s">
        <v>807</v>
      </c>
      <c r="B90" s="4" t="s">
        <v>791</v>
      </c>
      <c r="C90" s="5" t="s">
        <v>340</v>
      </c>
      <c r="D90" s="4" t="s">
        <v>70</v>
      </c>
      <c r="E90" s="4" t="s">
        <v>89</v>
      </c>
      <c r="F90" s="6">
        <v>40.492199999999997</v>
      </c>
      <c r="G90" s="6">
        <v>14.7067</v>
      </c>
      <c r="H90" s="7">
        <v>-320</v>
      </c>
      <c r="I90" s="4" t="s">
        <v>790</v>
      </c>
      <c r="J90" s="4" t="s">
        <v>150</v>
      </c>
      <c r="K90" s="6">
        <v>40.729999999999997</v>
      </c>
      <c r="L90" s="6">
        <v>13.897</v>
      </c>
      <c r="M90" s="5" t="s">
        <v>340</v>
      </c>
      <c r="N90" s="5" t="s">
        <v>340</v>
      </c>
      <c r="O90" s="4" t="s">
        <v>835</v>
      </c>
      <c r="P90" s="5">
        <v>10</v>
      </c>
      <c r="Q90" s="5" t="s">
        <v>340</v>
      </c>
      <c r="R90" s="4" t="s">
        <v>184</v>
      </c>
      <c r="S90" s="4" t="s">
        <v>1121</v>
      </c>
      <c r="T90" s="7">
        <v>4960</v>
      </c>
      <c r="U90" s="7">
        <v>5504</v>
      </c>
      <c r="V90" s="7">
        <v>5940</v>
      </c>
      <c r="W90" s="15" t="s">
        <v>1097</v>
      </c>
      <c r="X90" s="15" t="s">
        <v>1370</v>
      </c>
      <c r="Y90" s="7">
        <v>4790</v>
      </c>
      <c r="Z90" s="7">
        <v>200</v>
      </c>
      <c r="AA90" s="7" t="s">
        <v>340</v>
      </c>
      <c r="AB90" s="7" t="s">
        <v>340</v>
      </c>
      <c r="AC90" s="7" t="s">
        <v>340</v>
      </c>
      <c r="AD90" s="7" t="s">
        <v>340</v>
      </c>
      <c r="AE90" s="7" t="s">
        <v>340</v>
      </c>
      <c r="AF90" s="7" t="s">
        <v>340</v>
      </c>
      <c r="AG90" s="7" t="s">
        <v>340</v>
      </c>
      <c r="AH90" s="5">
        <v>1</v>
      </c>
      <c r="AI90" s="5">
        <v>1</v>
      </c>
      <c r="AJ90" s="9">
        <f>IF(AND(ISNUMBER(F90),ISNUMBER(G90),ISNUMBER(K90),ISNUMBER(L90)),ACOS(MIN(1,COS(RADIANS(90-F90))*COS(RADIANS(90-K90))+SIN(RADIANS(90-F90))*SIN(RADIANS(90-K90))*COS(RADIANS(G90-L90))))*6371,"N/A")</f>
        <v>73.285453758572203</v>
      </c>
      <c r="AK90" s="10">
        <f>IF(AND(ISNUMBER(F90),ISNUMBER(G90),ISNUMBER(K90),ISNUMBER(L90)),MOD(DEGREES(ATAN2(COS(RADIANS(K90))*SIN(RADIANS(F90))-SIN(RADIANS(K90))*COS(RADIANS(F90))*COS(RADIANS(G90-L90)),SIN(RADIANS(G90-L90))*COS(RADIANS(F90))))+360,360),"N/A")</f>
        <v>110.885997887494</v>
      </c>
      <c r="AL90" s="10" t="str">
        <f>IF(AND(ISNUMBER(F90),ISNUMBER(G90),ISNUMBER(M90),ISNUMBER(N90)),ACOS(MIN(1,COS(RADIANS(90-F90))*COS(RADIANS(90-M90))+SIN(RADIANS(90-F90))*SIN(RADIANS(90-M90))*COS(RADIANS(G90-N90))))*6371,"N/A")</f>
        <v>N/A</v>
      </c>
      <c r="AM90" s="10" t="str">
        <f>IF(AND(ISNUMBER(F90),ISNUMBER(G90),ISNUMBER(M90),ISNUMBER(N90)),MOD(DEGREES(ATAN2(COS(RADIANS(M90))*SIN(RADIANS(F90))-SIN(RADIANS(M90))*COS(RADIANS(F90))*COS(RADIANS(G90-N90)),SIN(RADIANS(G90-N90))*COS(RADIANS(F90))))+360,360),"N/A")</f>
        <v>N/A</v>
      </c>
      <c r="AN90" s="2"/>
      <c r="AO90" s="2"/>
    </row>
    <row r="91" spans="1:41" x14ac:dyDescent="0.2">
      <c r="A91" s="4" t="s">
        <v>795</v>
      </c>
      <c r="B91" s="4" t="s">
        <v>792</v>
      </c>
      <c r="C91" s="5" t="s">
        <v>340</v>
      </c>
      <c r="D91" s="4" t="s">
        <v>70</v>
      </c>
      <c r="E91" s="4" t="s">
        <v>89</v>
      </c>
      <c r="F91" s="6">
        <v>39.664900000000003</v>
      </c>
      <c r="G91" s="6">
        <v>15.771699999999999</v>
      </c>
      <c r="H91" s="7">
        <v>-91</v>
      </c>
      <c r="I91" s="4" t="s">
        <v>790</v>
      </c>
      <c r="J91" s="4" t="s">
        <v>15</v>
      </c>
      <c r="K91" s="6">
        <v>40.826999999999998</v>
      </c>
      <c r="L91" s="6">
        <v>14.138999999999999</v>
      </c>
      <c r="M91" s="5" t="s">
        <v>340</v>
      </c>
      <c r="N91" s="5" t="s">
        <v>340</v>
      </c>
      <c r="O91" s="4" t="s">
        <v>14</v>
      </c>
      <c r="P91" s="5">
        <v>4</v>
      </c>
      <c r="Q91" s="5" t="s">
        <v>340</v>
      </c>
      <c r="R91" s="4" t="s">
        <v>184</v>
      </c>
      <c r="S91" s="4" t="s">
        <v>1121</v>
      </c>
      <c r="T91" s="7">
        <v>8400</v>
      </c>
      <c r="U91" s="7">
        <f>AVERAGE(T91,V91)</f>
        <v>10200</v>
      </c>
      <c r="V91" s="7">
        <v>12000</v>
      </c>
      <c r="W91" s="15" t="s">
        <v>993</v>
      </c>
      <c r="X91" s="15" t="s">
        <v>790</v>
      </c>
      <c r="Y91" s="7" t="s">
        <v>340</v>
      </c>
      <c r="Z91" s="7" t="s">
        <v>340</v>
      </c>
      <c r="AA91" s="7" t="s">
        <v>340</v>
      </c>
      <c r="AB91" s="7" t="s">
        <v>340</v>
      </c>
      <c r="AC91" s="7" t="s">
        <v>340</v>
      </c>
      <c r="AD91" s="7" t="s">
        <v>340</v>
      </c>
      <c r="AE91" s="7" t="s">
        <v>340</v>
      </c>
      <c r="AF91" s="7" t="s">
        <v>340</v>
      </c>
      <c r="AG91" s="7" t="s">
        <v>340</v>
      </c>
      <c r="AH91" s="5">
        <v>1</v>
      </c>
      <c r="AI91" s="5">
        <v>1</v>
      </c>
      <c r="AJ91" s="9">
        <f>IF(AND(ISNUMBER(F91),ISNUMBER(G91),ISNUMBER(K91),ISNUMBER(L91)),ACOS(MIN(1,COS(RADIANS(90-F91))*COS(RADIANS(90-K91))+SIN(RADIANS(90-F91))*SIN(RADIANS(90-K91))*COS(RADIANS(G91-L91))))*6371,"N/A")</f>
        <v>189.46551220161089</v>
      </c>
      <c r="AK91" s="10">
        <f>IF(AND(ISNUMBER(F91),ISNUMBER(G91),ISNUMBER(K91),ISNUMBER(L91)),MOD(DEGREES(ATAN2(COS(RADIANS(K91))*SIN(RADIANS(F91))-SIN(RADIANS(K91))*COS(RADIANS(F91))*COS(RADIANS(G91-L91)),SIN(RADIANS(G91-L91))*COS(RADIANS(F91))))+360,360),"N/A")</f>
        <v>132.47000491549954</v>
      </c>
      <c r="AL91" s="10" t="str">
        <f>IF(AND(ISNUMBER(F91),ISNUMBER(G91),ISNUMBER(M91),ISNUMBER(N91)),ACOS(MIN(1,COS(RADIANS(90-F91))*COS(RADIANS(90-M91))+SIN(RADIANS(90-F91))*SIN(RADIANS(90-M91))*COS(RADIANS(G91-N91))))*6371,"N/A")</f>
        <v>N/A</v>
      </c>
      <c r="AM91" s="10" t="str">
        <f>IF(AND(ISNUMBER(F91),ISNUMBER(G91),ISNUMBER(M91),ISNUMBER(N91)),MOD(DEGREES(ATAN2(COS(RADIANS(M91))*SIN(RADIANS(F91))-SIN(RADIANS(M91))*COS(RADIANS(F91))*COS(RADIANS(G91-N91)),SIN(RADIANS(G91-N91))*COS(RADIANS(F91))))+360,360),"N/A")</f>
        <v>N/A</v>
      </c>
      <c r="AN91" s="2"/>
      <c r="AO91" s="2"/>
    </row>
    <row r="92" spans="1:41" x14ac:dyDescent="0.2">
      <c r="A92" s="8" t="s">
        <v>810</v>
      </c>
      <c r="B92" s="4" t="s">
        <v>791</v>
      </c>
      <c r="C92" s="5" t="s">
        <v>340</v>
      </c>
      <c r="D92" s="4" t="s">
        <v>70</v>
      </c>
      <c r="E92" s="4" t="s">
        <v>89</v>
      </c>
      <c r="F92" s="6">
        <v>40.492199999999997</v>
      </c>
      <c r="G92" s="6">
        <v>14.7067</v>
      </c>
      <c r="H92" s="7">
        <v>-320</v>
      </c>
      <c r="I92" s="4" t="s">
        <v>790</v>
      </c>
      <c r="J92" s="4" t="s">
        <v>15</v>
      </c>
      <c r="K92" s="6">
        <v>40.826999999999998</v>
      </c>
      <c r="L92" s="6">
        <v>14.138999999999999</v>
      </c>
      <c r="M92" s="5" t="s">
        <v>340</v>
      </c>
      <c r="N92" s="5" t="s">
        <v>340</v>
      </c>
      <c r="O92" s="4" t="s">
        <v>994</v>
      </c>
      <c r="P92" s="5">
        <v>9</v>
      </c>
      <c r="Q92" s="5" t="s">
        <v>340</v>
      </c>
      <c r="R92" s="4" t="s">
        <v>184</v>
      </c>
      <c r="S92" s="4" t="s">
        <v>1125</v>
      </c>
      <c r="T92" s="7">
        <v>4000</v>
      </c>
      <c r="U92" s="7">
        <f>AVERAGE(T92,V92)</f>
        <v>4313.5</v>
      </c>
      <c r="V92" s="7">
        <v>4627</v>
      </c>
      <c r="W92" s="15" t="s">
        <v>1098</v>
      </c>
      <c r="X92" s="15" t="s">
        <v>1357</v>
      </c>
      <c r="Y92" s="7" t="s">
        <v>340</v>
      </c>
      <c r="Z92" s="7" t="s">
        <v>340</v>
      </c>
      <c r="AA92" s="7" t="s">
        <v>340</v>
      </c>
      <c r="AB92" s="7" t="s">
        <v>340</v>
      </c>
      <c r="AC92" s="7" t="s">
        <v>340</v>
      </c>
      <c r="AD92" s="7" t="s">
        <v>340</v>
      </c>
      <c r="AE92" s="7" t="s">
        <v>340</v>
      </c>
      <c r="AF92" s="7" t="s">
        <v>340</v>
      </c>
      <c r="AG92" s="7" t="s">
        <v>340</v>
      </c>
      <c r="AH92" s="5">
        <v>1</v>
      </c>
      <c r="AI92" s="5">
        <v>1</v>
      </c>
      <c r="AJ92" s="9">
        <f>IF(AND(ISNUMBER(F92),ISNUMBER(G92),ISNUMBER(K92),ISNUMBER(L92)),ACOS(MIN(1,COS(RADIANS(90-F92))*COS(RADIANS(90-K92))+SIN(RADIANS(90-F92))*SIN(RADIANS(90-K92))*COS(RADIANS(G92-L92))))*6371,"N/A")</f>
        <v>60.654909573874157</v>
      </c>
      <c r="AK92" s="10">
        <f>IF(AND(ISNUMBER(F92),ISNUMBER(G92),ISNUMBER(K92),ISNUMBER(L92)),MOD(DEGREES(ATAN2(COS(RADIANS(K92))*SIN(RADIANS(F92))-SIN(RADIANS(K92))*COS(RADIANS(F92))*COS(RADIANS(G92-L92)),SIN(RADIANS(G92-L92))*COS(RADIANS(F92))))+360,360),"N/A")</f>
        <v>127.67708826355931</v>
      </c>
      <c r="AL92" s="10" t="str">
        <f>IF(AND(ISNUMBER(F92),ISNUMBER(G92),ISNUMBER(M92),ISNUMBER(N92)),ACOS(MIN(1,COS(RADIANS(90-F92))*COS(RADIANS(90-M92))+SIN(RADIANS(90-F92))*SIN(RADIANS(90-M92))*COS(RADIANS(G92-N92))))*6371,"N/A")</f>
        <v>N/A</v>
      </c>
      <c r="AM92" s="10" t="str">
        <f>IF(AND(ISNUMBER(F92),ISNUMBER(G92),ISNUMBER(M92),ISNUMBER(N92)),MOD(DEGREES(ATAN2(COS(RADIANS(M92))*SIN(RADIANS(F92))-SIN(RADIANS(M92))*COS(RADIANS(F92))*COS(RADIANS(G92-N92)),SIN(RADIANS(G92-N92))*COS(RADIANS(F92))))+360,360),"N/A")</f>
        <v>N/A</v>
      </c>
      <c r="AN92" s="2"/>
      <c r="AO92" s="2"/>
    </row>
    <row r="93" spans="1:41" x14ac:dyDescent="0.2">
      <c r="A93" s="8" t="s">
        <v>812</v>
      </c>
      <c r="B93" s="4" t="s">
        <v>791</v>
      </c>
      <c r="C93" s="5" t="s">
        <v>340</v>
      </c>
      <c r="D93" s="4" t="s">
        <v>70</v>
      </c>
      <c r="E93" s="4" t="s">
        <v>89</v>
      </c>
      <c r="F93" s="6">
        <v>40.492199999999997</v>
      </c>
      <c r="G93" s="6">
        <v>14.7067</v>
      </c>
      <c r="H93" s="7">
        <v>-320</v>
      </c>
      <c r="I93" s="4" t="s">
        <v>790</v>
      </c>
      <c r="J93" s="4" t="s">
        <v>15</v>
      </c>
      <c r="K93" s="6">
        <v>40.826999999999998</v>
      </c>
      <c r="L93" s="6">
        <v>14.138999999999999</v>
      </c>
      <c r="M93" s="5" t="s">
        <v>340</v>
      </c>
      <c r="N93" s="5" t="s">
        <v>340</v>
      </c>
      <c r="O93" s="4" t="s">
        <v>199</v>
      </c>
      <c r="P93" s="5">
        <v>4</v>
      </c>
      <c r="Q93" s="5" t="s">
        <v>340</v>
      </c>
      <c r="R93" s="4" t="s">
        <v>41</v>
      </c>
      <c r="S93" s="4" t="s">
        <v>1121</v>
      </c>
      <c r="T93" s="7">
        <v>4483</v>
      </c>
      <c r="U93" s="7">
        <v>4540</v>
      </c>
      <c r="V93" s="7">
        <v>4627</v>
      </c>
      <c r="W93" s="15" t="s">
        <v>928</v>
      </c>
      <c r="X93" s="21" t="s">
        <v>1357</v>
      </c>
      <c r="Y93" s="7" t="s">
        <v>340</v>
      </c>
      <c r="Z93" s="7" t="s">
        <v>340</v>
      </c>
      <c r="AA93" s="7" t="s">
        <v>340</v>
      </c>
      <c r="AB93" s="7" t="s">
        <v>340</v>
      </c>
      <c r="AC93" s="7">
        <v>5390</v>
      </c>
      <c r="AD93" s="7">
        <v>270</v>
      </c>
      <c r="AE93" s="7">
        <v>4546</v>
      </c>
      <c r="AF93" s="7">
        <v>36</v>
      </c>
      <c r="AG93" s="7" t="s">
        <v>340</v>
      </c>
      <c r="AH93" s="5">
        <v>1</v>
      </c>
      <c r="AI93" s="5">
        <v>1</v>
      </c>
      <c r="AJ93" s="9">
        <f>IF(AND(ISNUMBER(F93),ISNUMBER(G93),ISNUMBER(K93),ISNUMBER(L93)),ACOS(MIN(1,COS(RADIANS(90-F93))*COS(RADIANS(90-K93))+SIN(RADIANS(90-F93))*SIN(RADIANS(90-K93))*COS(RADIANS(G93-L93))))*6371,"N/A")</f>
        <v>60.654909573874157</v>
      </c>
      <c r="AK93" s="10">
        <f>IF(AND(ISNUMBER(F93),ISNUMBER(G93),ISNUMBER(K93),ISNUMBER(L93)),MOD(DEGREES(ATAN2(COS(RADIANS(K93))*SIN(RADIANS(F93))-SIN(RADIANS(K93))*COS(RADIANS(F93))*COS(RADIANS(G93-L93)),SIN(RADIANS(G93-L93))*COS(RADIANS(F93))))+360,360),"N/A")</f>
        <v>127.67708826355931</v>
      </c>
      <c r="AL93" s="10" t="str">
        <f>IF(AND(ISNUMBER(F93),ISNUMBER(G93),ISNUMBER(M93),ISNUMBER(N93)),ACOS(MIN(1,COS(RADIANS(90-F93))*COS(RADIANS(90-M93))+SIN(RADIANS(90-F93))*SIN(RADIANS(90-M93))*COS(RADIANS(G93-N93))))*6371,"N/A")</f>
        <v>N/A</v>
      </c>
      <c r="AM93" s="10" t="str">
        <f>IF(AND(ISNUMBER(F93),ISNUMBER(G93),ISNUMBER(M93),ISNUMBER(N93)),MOD(DEGREES(ATAN2(COS(RADIANS(M93))*SIN(RADIANS(F93))-SIN(RADIANS(M93))*COS(RADIANS(F93))*COS(RADIANS(G93-N93)),SIN(RADIANS(G93-N93))*COS(RADIANS(F93))))+360,360),"N/A")</f>
        <v>N/A</v>
      </c>
      <c r="AN93" s="2"/>
      <c r="AO93" s="2"/>
    </row>
    <row r="94" spans="1:41" x14ac:dyDescent="0.2">
      <c r="A94" s="8" t="s">
        <v>809</v>
      </c>
      <c r="B94" s="4" t="s">
        <v>791</v>
      </c>
      <c r="C94" s="5" t="s">
        <v>340</v>
      </c>
      <c r="D94" s="4" t="s">
        <v>70</v>
      </c>
      <c r="E94" s="4" t="s">
        <v>89</v>
      </c>
      <c r="F94" s="6">
        <v>40.492199999999997</v>
      </c>
      <c r="G94" s="6">
        <v>14.7067</v>
      </c>
      <c r="H94" s="7">
        <v>-320</v>
      </c>
      <c r="I94" s="4" t="s">
        <v>790</v>
      </c>
      <c r="J94" s="4" t="s">
        <v>15</v>
      </c>
      <c r="K94" s="6">
        <v>40.826999999999998</v>
      </c>
      <c r="L94" s="6">
        <v>14.138999999999999</v>
      </c>
      <c r="M94" s="5" t="s">
        <v>340</v>
      </c>
      <c r="N94" s="5" t="s">
        <v>340</v>
      </c>
      <c r="O94" s="4" t="s">
        <v>199</v>
      </c>
      <c r="P94" s="5">
        <v>9</v>
      </c>
      <c r="Q94" s="5" t="s">
        <v>340</v>
      </c>
      <c r="R94" s="4" t="s">
        <v>41</v>
      </c>
      <c r="S94" s="4" t="s">
        <v>1121</v>
      </c>
      <c r="T94" s="7">
        <v>4483</v>
      </c>
      <c r="U94" s="7">
        <v>4540</v>
      </c>
      <c r="V94" s="7">
        <v>4627</v>
      </c>
      <c r="W94" s="15" t="s">
        <v>928</v>
      </c>
      <c r="X94" s="21" t="s">
        <v>1357</v>
      </c>
      <c r="Y94" s="7" t="s">
        <v>340</v>
      </c>
      <c r="Z94" s="7" t="s">
        <v>340</v>
      </c>
      <c r="AA94" s="7" t="s">
        <v>340</v>
      </c>
      <c r="AB94" s="7" t="s">
        <v>340</v>
      </c>
      <c r="AC94" s="7">
        <v>5390</v>
      </c>
      <c r="AD94" s="7">
        <v>270</v>
      </c>
      <c r="AE94" s="7">
        <v>4546</v>
      </c>
      <c r="AF94" s="7">
        <v>36</v>
      </c>
      <c r="AG94" s="7" t="s">
        <v>340</v>
      </c>
      <c r="AH94" s="5">
        <v>1</v>
      </c>
      <c r="AI94" s="5">
        <v>1</v>
      </c>
      <c r="AJ94" s="9">
        <f>IF(AND(ISNUMBER(F94),ISNUMBER(G94),ISNUMBER(K94),ISNUMBER(L94)),ACOS(MIN(1,COS(RADIANS(90-F94))*COS(RADIANS(90-K94))+SIN(RADIANS(90-F94))*SIN(RADIANS(90-K94))*COS(RADIANS(G94-L94))))*6371,"N/A")</f>
        <v>60.654909573874157</v>
      </c>
      <c r="AK94" s="10">
        <f>IF(AND(ISNUMBER(F94),ISNUMBER(G94),ISNUMBER(K94),ISNUMBER(L94)),MOD(DEGREES(ATAN2(COS(RADIANS(K94))*SIN(RADIANS(F94))-SIN(RADIANS(K94))*COS(RADIANS(F94))*COS(RADIANS(G94-L94)),SIN(RADIANS(G94-L94))*COS(RADIANS(F94))))+360,360),"N/A")</f>
        <v>127.67708826355931</v>
      </c>
      <c r="AL94" s="10" t="str">
        <f>IF(AND(ISNUMBER(F94),ISNUMBER(G94),ISNUMBER(M94),ISNUMBER(N94)),ACOS(MIN(1,COS(RADIANS(90-F94))*COS(RADIANS(90-M94))+SIN(RADIANS(90-F94))*SIN(RADIANS(90-M94))*COS(RADIANS(G94-N94))))*6371,"N/A")</f>
        <v>N/A</v>
      </c>
      <c r="AM94" s="10" t="str">
        <f>IF(AND(ISNUMBER(F94),ISNUMBER(G94),ISNUMBER(M94),ISNUMBER(N94)),MOD(DEGREES(ATAN2(COS(RADIANS(M94))*SIN(RADIANS(F94))-SIN(RADIANS(M94))*COS(RADIANS(F94))*COS(RADIANS(G94-N94)),SIN(RADIANS(G94-N94))*COS(RADIANS(F94))))+360,360),"N/A")</f>
        <v>N/A</v>
      </c>
      <c r="AN94" s="2"/>
      <c r="AO94" s="2"/>
    </row>
    <row r="95" spans="1:41" x14ac:dyDescent="0.2">
      <c r="A95" s="8" t="s">
        <v>802</v>
      </c>
      <c r="B95" s="4" t="s">
        <v>791</v>
      </c>
      <c r="C95" s="5" t="s">
        <v>340</v>
      </c>
      <c r="D95" s="4" t="s">
        <v>70</v>
      </c>
      <c r="E95" s="4" t="s">
        <v>89</v>
      </c>
      <c r="F95" s="6">
        <v>40.492199999999997</v>
      </c>
      <c r="G95" s="6">
        <v>14.7067</v>
      </c>
      <c r="H95" s="7">
        <v>-320</v>
      </c>
      <c r="I95" s="4" t="s">
        <v>790</v>
      </c>
      <c r="J95" s="4" t="s">
        <v>15</v>
      </c>
      <c r="K95" s="6">
        <v>40.826999999999998</v>
      </c>
      <c r="L95" s="6">
        <v>14.138999999999999</v>
      </c>
      <c r="M95" s="5" t="s">
        <v>340</v>
      </c>
      <c r="N95" s="5" t="s">
        <v>340</v>
      </c>
      <c r="O95" s="4" t="s">
        <v>232</v>
      </c>
      <c r="P95" s="5">
        <v>10</v>
      </c>
      <c r="Q95" s="5" t="s">
        <v>340</v>
      </c>
      <c r="R95" s="4" t="s">
        <v>41</v>
      </c>
      <c r="S95" s="4" t="s">
        <v>1121</v>
      </c>
      <c r="T95" s="7">
        <v>11860</v>
      </c>
      <c r="U95" s="7">
        <v>12096</v>
      </c>
      <c r="V95" s="7">
        <v>12396</v>
      </c>
      <c r="W95" s="15" t="s">
        <v>928</v>
      </c>
      <c r="X95" s="21" t="s">
        <v>1357</v>
      </c>
      <c r="Y95" s="7" t="s">
        <v>340</v>
      </c>
      <c r="Z95" s="7" t="s">
        <v>340</v>
      </c>
      <c r="AA95" s="7" t="s">
        <v>340</v>
      </c>
      <c r="AB95" s="7" t="s">
        <v>340</v>
      </c>
      <c r="AC95" s="7">
        <v>12180</v>
      </c>
      <c r="AD95" s="7">
        <v>610</v>
      </c>
      <c r="AE95" s="7">
        <v>12104</v>
      </c>
      <c r="AF95" s="7">
        <v>141</v>
      </c>
      <c r="AG95" s="7" t="s">
        <v>340</v>
      </c>
      <c r="AH95" s="5">
        <v>1</v>
      </c>
      <c r="AI95" s="5">
        <v>1</v>
      </c>
      <c r="AJ95" s="9">
        <f>IF(AND(ISNUMBER(F95),ISNUMBER(G95),ISNUMBER(K95),ISNUMBER(L95)),ACOS(MIN(1,COS(RADIANS(90-F95))*COS(RADIANS(90-K95))+SIN(RADIANS(90-F95))*SIN(RADIANS(90-K95))*COS(RADIANS(G95-L95))))*6371,"N/A")</f>
        <v>60.654909573874157</v>
      </c>
      <c r="AK95" s="10">
        <f>IF(AND(ISNUMBER(F95),ISNUMBER(G95),ISNUMBER(K95),ISNUMBER(L95)),MOD(DEGREES(ATAN2(COS(RADIANS(K95))*SIN(RADIANS(F95))-SIN(RADIANS(K95))*COS(RADIANS(F95))*COS(RADIANS(G95-L95)),SIN(RADIANS(G95-L95))*COS(RADIANS(F95))))+360,360),"N/A")</f>
        <v>127.67708826355931</v>
      </c>
      <c r="AL95" s="10" t="str">
        <f>IF(AND(ISNUMBER(F95),ISNUMBER(G95),ISNUMBER(M95),ISNUMBER(N95)),ACOS(MIN(1,COS(RADIANS(90-F95))*COS(RADIANS(90-M95))+SIN(RADIANS(90-F95))*SIN(RADIANS(90-M95))*COS(RADIANS(G95-N95))))*6371,"N/A")</f>
        <v>N/A</v>
      </c>
      <c r="AM95" s="10" t="str">
        <f>IF(AND(ISNUMBER(F95),ISNUMBER(G95),ISNUMBER(M95),ISNUMBER(N95)),MOD(DEGREES(ATAN2(COS(RADIANS(M95))*SIN(RADIANS(F95))-SIN(RADIANS(M95))*COS(RADIANS(F95))*COS(RADIANS(G95-N95)),SIN(RADIANS(G95-N95))*COS(RADIANS(F95))))+360,360),"N/A")</f>
        <v>N/A</v>
      </c>
      <c r="AN95" s="2"/>
      <c r="AO95" s="2"/>
    </row>
    <row r="96" spans="1:41" x14ac:dyDescent="0.2">
      <c r="A96" s="8" t="s">
        <v>801</v>
      </c>
      <c r="B96" s="4" t="s">
        <v>791</v>
      </c>
      <c r="C96" s="5" t="s">
        <v>340</v>
      </c>
      <c r="D96" s="4" t="s">
        <v>70</v>
      </c>
      <c r="E96" s="4" t="s">
        <v>89</v>
      </c>
      <c r="F96" s="6">
        <v>40.492199999999997</v>
      </c>
      <c r="G96" s="6">
        <v>14.7067</v>
      </c>
      <c r="H96" s="7">
        <v>-320</v>
      </c>
      <c r="I96" s="4" t="s">
        <v>790</v>
      </c>
      <c r="J96" s="4" t="s">
        <v>15</v>
      </c>
      <c r="K96" s="6">
        <v>40.826999999999998</v>
      </c>
      <c r="L96" s="6">
        <v>14.138999999999999</v>
      </c>
      <c r="M96" s="5" t="s">
        <v>340</v>
      </c>
      <c r="N96" s="5" t="s">
        <v>340</v>
      </c>
      <c r="O96" s="4" t="s">
        <v>440</v>
      </c>
      <c r="P96" s="5">
        <v>10</v>
      </c>
      <c r="Q96" s="5" t="s">
        <v>340</v>
      </c>
      <c r="R96" s="4" t="s">
        <v>41</v>
      </c>
      <c r="S96" s="4" t="s">
        <v>1121</v>
      </c>
      <c r="T96" s="7">
        <v>12116</v>
      </c>
      <c r="U96" s="7">
        <v>12388</v>
      </c>
      <c r="V96" s="7">
        <v>12482</v>
      </c>
      <c r="W96" s="15" t="s">
        <v>1335</v>
      </c>
      <c r="X96" s="15" t="s">
        <v>1361</v>
      </c>
      <c r="Y96" s="7">
        <v>10330</v>
      </c>
      <c r="Z96" s="7">
        <v>50</v>
      </c>
      <c r="AA96" s="7" t="s">
        <v>340</v>
      </c>
      <c r="AB96" s="7" t="s">
        <v>340</v>
      </c>
      <c r="AC96" s="7" t="s">
        <v>340</v>
      </c>
      <c r="AD96" s="7" t="s">
        <v>340</v>
      </c>
      <c r="AE96" s="7">
        <v>12357</v>
      </c>
      <c r="AF96" s="7">
        <v>100</v>
      </c>
      <c r="AG96" s="7" t="s">
        <v>340</v>
      </c>
      <c r="AH96" s="5">
        <v>1</v>
      </c>
      <c r="AI96" s="5">
        <v>1</v>
      </c>
      <c r="AJ96" s="9">
        <f>IF(AND(ISNUMBER(F96),ISNUMBER(G96),ISNUMBER(K96),ISNUMBER(L96)),ACOS(MIN(1,COS(RADIANS(90-F96))*COS(RADIANS(90-K96))+SIN(RADIANS(90-F96))*SIN(RADIANS(90-K96))*COS(RADIANS(G96-L96))))*6371,"N/A")</f>
        <v>60.654909573874157</v>
      </c>
      <c r="AK96" s="10">
        <f>IF(AND(ISNUMBER(F96),ISNUMBER(G96),ISNUMBER(K96),ISNUMBER(L96)),MOD(DEGREES(ATAN2(COS(RADIANS(K96))*SIN(RADIANS(F96))-SIN(RADIANS(K96))*COS(RADIANS(F96))*COS(RADIANS(G96-L96)),SIN(RADIANS(G96-L96))*COS(RADIANS(F96))))+360,360),"N/A")</f>
        <v>127.67708826355931</v>
      </c>
      <c r="AL96" s="10" t="str">
        <f>IF(AND(ISNUMBER(F96),ISNUMBER(G96),ISNUMBER(M96),ISNUMBER(N96)),ACOS(MIN(1,COS(RADIANS(90-F96))*COS(RADIANS(90-M96))+SIN(RADIANS(90-F96))*SIN(RADIANS(90-M96))*COS(RADIANS(G96-N96))))*6371,"N/A")</f>
        <v>N/A</v>
      </c>
      <c r="AM96" s="10" t="str">
        <f>IF(AND(ISNUMBER(F96),ISNUMBER(G96),ISNUMBER(M96),ISNUMBER(N96)),MOD(DEGREES(ATAN2(COS(RADIANS(M96))*SIN(RADIANS(F96))-SIN(RADIANS(M96))*COS(RADIANS(F96))*COS(RADIANS(G96-N96)),SIN(RADIANS(G96-N96))*COS(RADIANS(F96))))+360,360),"N/A")</f>
        <v>N/A</v>
      </c>
      <c r="AN96" s="2"/>
      <c r="AO96" s="2"/>
    </row>
    <row r="97" spans="1:41" x14ac:dyDescent="0.2">
      <c r="A97" s="8" t="s">
        <v>819</v>
      </c>
      <c r="B97" s="4" t="s">
        <v>791</v>
      </c>
      <c r="C97" s="5" t="s">
        <v>340</v>
      </c>
      <c r="D97" s="4" t="s">
        <v>70</v>
      </c>
      <c r="E97" s="4" t="s">
        <v>89</v>
      </c>
      <c r="F97" s="6">
        <v>40.492199999999997</v>
      </c>
      <c r="G97" s="6">
        <v>14.7067</v>
      </c>
      <c r="H97" s="7">
        <v>-320</v>
      </c>
      <c r="I97" s="4" t="s">
        <v>790</v>
      </c>
      <c r="J97" s="4" t="s">
        <v>16</v>
      </c>
      <c r="K97" s="6">
        <v>40.820999999999998</v>
      </c>
      <c r="L97" s="6">
        <v>14.426</v>
      </c>
      <c r="M97" s="5" t="s">
        <v>340</v>
      </c>
      <c r="N97" s="5" t="s">
        <v>340</v>
      </c>
      <c r="O97" s="4" t="s">
        <v>831</v>
      </c>
      <c r="P97" s="5">
        <v>9</v>
      </c>
      <c r="Q97" s="5" t="s">
        <v>340</v>
      </c>
      <c r="R97" s="4" t="s">
        <v>41</v>
      </c>
      <c r="S97" s="4" t="s">
        <v>1121</v>
      </c>
      <c r="T97" s="7">
        <v>220</v>
      </c>
      <c r="U97" s="7">
        <v>220</v>
      </c>
      <c r="V97" s="7">
        <v>220</v>
      </c>
      <c r="W97" s="15" t="s">
        <v>898</v>
      </c>
      <c r="X97" s="15" t="s">
        <v>774</v>
      </c>
      <c r="Y97" s="7" t="s">
        <v>340</v>
      </c>
      <c r="Z97" s="7" t="s">
        <v>340</v>
      </c>
      <c r="AA97" s="7" t="s">
        <v>340</v>
      </c>
      <c r="AB97" s="7" t="s">
        <v>340</v>
      </c>
      <c r="AC97" s="7" t="s">
        <v>340</v>
      </c>
      <c r="AD97" s="7" t="s">
        <v>340</v>
      </c>
      <c r="AE97" s="7" t="s">
        <v>340</v>
      </c>
      <c r="AF97" s="7" t="s">
        <v>340</v>
      </c>
      <c r="AG97" s="7" t="s">
        <v>831</v>
      </c>
      <c r="AH97" s="5">
        <v>1</v>
      </c>
      <c r="AI97" s="5">
        <v>1</v>
      </c>
      <c r="AJ97" s="9">
        <f>IF(AND(ISNUMBER(F97),ISNUMBER(G97),ISNUMBER(K97),ISNUMBER(L97)),ACOS(MIN(1,COS(RADIANS(90-F97))*COS(RADIANS(90-K97))+SIN(RADIANS(90-F97))*SIN(RADIANS(90-K97))*COS(RADIANS(G97-L97))))*6371,"N/A")</f>
        <v>43.558812999388323</v>
      </c>
      <c r="AK97" s="10">
        <f>IF(AND(ISNUMBER(F97),ISNUMBER(G97),ISNUMBER(K97),ISNUMBER(L97)),MOD(DEGREES(ATAN2(COS(RADIANS(K97))*SIN(RADIANS(F97))-SIN(RADIANS(K97))*COS(RADIANS(F97))*COS(RADIANS(G97-L97)),SIN(RADIANS(G97-L97))*COS(RADIANS(F97))))+360,360),"N/A")</f>
        <v>146.97940972353956</v>
      </c>
      <c r="AL97" s="10" t="str">
        <f>IF(AND(ISNUMBER(F97),ISNUMBER(G97),ISNUMBER(M97),ISNUMBER(N97)),ACOS(MIN(1,COS(RADIANS(90-F97))*COS(RADIANS(90-M97))+SIN(RADIANS(90-F97))*SIN(RADIANS(90-M97))*COS(RADIANS(G97-N97))))*6371,"N/A")</f>
        <v>N/A</v>
      </c>
      <c r="AM97" s="10" t="str">
        <f>IF(AND(ISNUMBER(F97),ISNUMBER(G97),ISNUMBER(M97),ISNUMBER(N97)),MOD(DEGREES(ATAN2(COS(RADIANS(M97))*SIN(RADIANS(F97))-SIN(RADIANS(M97))*COS(RADIANS(F97))*COS(RADIANS(G97-N97)),SIN(RADIANS(G97-N97))*COS(RADIANS(F97))))+360,360),"N/A")</f>
        <v>N/A</v>
      </c>
      <c r="AN97" s="2"/>
      <c r="AO97" s="2"/>
    </row>
    <row r="98" spans="1:41" x14ac:dyDescent="0.2">
      <c r="A98" s="8" t="s">
        <v>815</v>
      </c>
      <c r="B98" s="4" t="s">
        <v>791</v>
      </c>
      <c r="C98" s="5" t="s">
        <v>340</v>
      </c>
      <c r="D98" s="4" t="s">
        <v>70</v>
      </c>
      <c r="E98" s="4" t="s">
        <v>89</v>
      </c>
      <c r="F98" s="6">
        <v>40.492199999999997</v>
      </c>
      <c r="G98" s="6">
        <v>14.7067</v>
      </c>
      <c r="H98" s="7">
        <v>-320</v>
      </c>
      <c r="I98" s="4" t="s">
        <v>790</v>
      </c>
      <c r="J98" s="4" t="s">
        <v>16</v>
      </c>
      <c r="K98" s="6">
        <v>40.820999999999998</v>
      </c>
      <c r="L98" s="6">
        <v>14.426</v>
      </c>
      <c r="M98" s="5" t="s">
        <v>340</v>
      </c>
      <c r="N98" s="5" t="s">
        <v>340</v>
      </c>
      <c r="O98" s="4" t="s">
        <v>879</v>
      </c>
      <c r="P98" s="5" t="s">
        <v>340</v>
      </c>
      <c r="Q98" s="5" t="s">
        <v>340</v>
      </c>
      <c r="R98" s="4" t="s">
        <v>41</v>
      </c>
      <c r="S98" s="4" t="s">
        <v>1121</v>
      </c>
      <c r="T98" s="7">
        <v>1871</v>
      </c>
      <c r="U98" s="7">
        <v>1871</v>
      </c>
      <c r="V98" s="7">
        <v>1871</v>
      </c>
      <c r="W98" s="15" t="s">
        <v>898</v>
      </c>
      <c r="X98" s="15" t="s">
        <v>332</v>
      </c>
      <c r="Y98" s="7" t="s">
        <v>340</v>
      </c>
      <c r="Z98" s="7" t="s">
        <v>340</v>
      </c>
      <c r="AA98" s="7" t="s">
        <v>340</v>
      </c>
      <c r="AB98" s="7" t="s">
        <v>340</v>
      </c>
      <c r="AC98" s="7" t="s">
        <v>340</v>
      </c>
      <c r="AD98" s="7" t="s">
        <v>340</v>
      </c>
      <c r="AE98" s="7" t="s">
        <v>340</v>
      </c>
      <c r="AF98" s="7" t="s">
        <v>340</v>
      </c>
      <c r="AG98" s="7" t="s">
        <v>905</v>
      </c>
      <c r="AH98" s="5">
        <v>1</v>
      </c>
      <c r="AI98" s="5">
        <v>1</v>
      </c>
      <c r="AJ98" s="9">
        <f>IF(AND(ISNUMBER(F98),ISNUMBER(G98),ISNUMBER(K98),ISNUMBER(L98)),ACOS(MIN(1,COS(RADIANS(90-F98))*COS(RADIANS(90-K98))+SIN(RADIANS(90-F98))*SIN(RADIANS(90-K98))*COS(RADIANS(G98-L98))))*6371,"N/A")</f>
        <v>43.558812999388323</v>
      </c>
      <c r="AK98" s="10">
        <f>IF(AND(ISNUMBER(F98),ISNUMBER(G98),ISNUMBER(K98),ISNUMBER(L98)),MOD(DEGREES(ATAN2(COS(RADIANS(K98))*SIN(RADIANS(F98))-SIN(RADIANS(K98))*COS(RADIANS(F98))*COS(RADIANS(G98-L98)),SIN(RADIANS(G98-L98))*COS(RADIANS(F98))))+360,360),"N/A")</f>
        <v>146.97940972353956</v>
      </c>
      <c r="AL98" s="10" t="str">
        <f>IF(AND(ISNUMBER(F98),ISNUMBER(G98),ISNUMBER(M98),ISNUMBER(N98)),ACOS(MIN(1,COS(RADIANS(90-F98))*COS(RADIANS(90-M98))+SIN(RADIANS(90-F98))*SIN(RADIANS(90-M98))*COS(RADIANS(G98-N98))))*6371,"N/A")</f>
        <v>N/A</v>
      </c>
      <c r="AM98" s="10" t="str">
        <f>IF(AND(ISNUMBER(F98),ISNUMBER(G98),ISNUMBER(M98),ISNUMBER(N98)),MOD(DEGREES(ATAN2(COS(RADIANS(M98))*SIN(RADIANS(F98))-SIN(RADIANS(M98))*COS(RADIANS(F98))*COS(RADIANS(G98-N98)),SIN(RADIANS(G98-N98))*COS(RADIANS(F98))))+360,360),"N/A")</f>
        <v>N/A</v>
      </c>
      <c r="AN98" s="2"/>
      <c r="AO98" s="2"/>
    </row>
    <row r="99" spans="1:41" x14ac:dyDescent="0.2">
      <c r="A99" s="8" t="s">
        <v>813</v>
      </c>
      <c r="B99" s="4" t="s">
        <v>791</v>
      </c>
      <c r="C99" s="5" t="s">
        <v>340</v>
      </c>
      <c r="D99" s="4" t="s">
        <v>70</v>
      </c>
      <c r="E99" s="4" t="s">
        <v>89</v>
      </c>
      <c r="F99" s="6">
        <v>40.492199999999997</v>
      </c>
      <c r="G99" s="6">
        <v>14.7067</v>
      </c>
      <c r="H99" s="7">
        <v>-320</v>
      </c>
      <c r="I99" s="4" t="s">
        <v>790</v>
      </c>
      <c r="J99" s="4" t="s">
        <v>16</v>
      </c>
      <c r="K99" s="6">
        <v>40.820999999999998</v>
      </c>
      <c r="L99" s="6">
        <v>14.426</v>
      </c>
      <c r="M99" s="5" t="s">
        <v>340</v>
      </c>
      <c r="N99" s="5" t="s">
        <v>340</v>
      </c>
      <c r="O99" s="4" t="s">
        <v>836</v>
      </c>
      <c r="P99" s="5">
        <v>9</v>
      </c>
      <c r="Q99" s="5" t="s">
        <v>340</v>
      </c>
      <c r="R99" s="4" t="s">
        <v>41</v>
      </c>
      <c r="S99" s="4" t="s">
        <v>1121</v>
      </c>
      <c r="T99" s="7">
        <v>3500</v>
      </c>
      <c r="U99" s="7">
        <v>3600</v>
      </c>
      <c r="V99" s="7">
        <v>3700</v>
      </c>
      <c r="W99" s="15" t="s">
        <v>1094</v>
      </c>
      <c r="X99" s="15" t="s">
        <v>1051</v>
      </c>
      <c r="Y99" s="7">
        <v>3225</v>
      </c>
      <c r="Z99" s="7">
        <v>140</v>
      </c>
      <c r="AA99" s="7" t="s">
        <v>340</v>
      </c>
      <c r="AB99" s="7" t="s">
        <v>340</v>
      </c>
      <c r="AC99" s="7" t="s">
        <v>340</v>
      </c>
      <c r="AD99" s="7" t="s">
        <v>340</v>
      </c>
      <c r="AE99" s="7" t="s">
        <v>340</v>
      </c>
      <c r="AF99" s="7" t="s">
        <v>340</v>
      </c>
      <c r="AG99" s="7" t="s">
        <v>340</v>
      </c>
      <c r="AH99" s="5">
        <v>1</v>
      </c>
      <c r="AI99" s="5">
        <v>1</v>
      </c>
      <c r="AJ99" s="9">
        <f>IF(AND(ISNUMBER(F99),ISNUMBER(G99),ISNUMBER(K99),ISNUMBER(L99)),ACOS(MIN(1,COS(RADIANS(90-F99))*COS(RADIANS(90-K99))+SIN(RADIANS(90-F99))*SIN(RADIANS(90-K99))*COS(RADIANS(G99-L99))))*6371,"N/A")</f>
        <v>43.558812999388323</v>
      </c>
      <c r="AK99" s="10">
        <f>IF(AND(ISNUMBER(F99),ISNUMBER(G99),ISNUMBER(K99),ISNUMBER(L99)),MOD(DEGREES(ATAN2(COS(RADIANS(K99))*SIN(RADIANS(F99))-SIN(RADIANS(K99))*COS(RADIANS(F99))*COS(RADIANS(G99-L99)),SIN(RADIANS(G99-L99))*COS(RADIANS(F99))))+360,360),"N/A")</f>
        <v>146.97940972353956</v>
      </c>
      <c r="AL99" s="10" t="str">
        <f>IF(AND(ISNUMBER(F99),ISNUMBER(G99),ISNUMBER(M99),ISNUMBER(N99)),ACOS(MIN(1,COS(RADIANS(90-F99))*COS(RADIANS(90-M99))+SIN(RADIANS(90-F99))*SIN(RADIANS(90-M99))*COS(RADIANS(G99-N99))))*6371,"N/A")</f>
        <v>N/A</v>
      </c>
      <c r="AM99" s="10" t="str">
        <f>IF(AND(ISNUMBER(F99),ISNUMBER(G99),ISNUMBER(M99),ISNUMBER(N99)),MOD(DEGREES(ATAN2(COS(RADIANS(M99))*SIN(RADIANS(F99))-SIN(RADIANS(M99))*COS(RADIANS(F99))*COS(RADIANS(G99-N99)),SIN(RADIANS(G99-N99))*COS(RADIANS(F99))))+360,360),"N/A")</f>
        <v>N/A</v>
      </c>
      <c r="AN99" s="2"/>
      <c r="AO99" s="2"/>
    </row>
    <row r="100" spans="1:41" x14ac:dyDescent="0.2">
      <c r="A100" s="8" t="s">
        <v>814</v>
      </c>
      <c r="B100" s="4" t="s">
        <v>791</v>
      </c>
      <c r="C100" s="5" t="s">
        <v>340</v>
      </c>
      <c r="D100" s="4" t="s">
        <v>70</v>
      </c>
      <c r="E100" s="4" t="s">
        <v>89</v>
      </c>
      <c r="F100" s="6">
        <v>40.492199999999997</v>
      </c>
      <c r="G100" s="6">
        <v>14.7067</v>
      </c>
      <c r="H100" s="7">
        <v>-320</v>
      </c>
      <c r="I100" s="4" t="s">
        <v>790</v>
      </c>
      <c r="J100" s="4" t="s">
        <v>16</v>
      </c>
      <c r="K100" s="6">
        <v>40.820999999999998</v>
      </c>
      <c r="L100" s="6">
        <v>14.426</v>
      </c>
      <c r="M100" s="5" t="s">
        <v>340</v>
      </c>
      <c r="N100" s="5" t="s">
        <v>340</v>
      </c>
      <c r="O100" s="4" t="s">
        <v>297</v>
      </c>
      <c r="P100" s="5">
        <v>7</v>
      </c>
      <c r="Q100" s="5" t="s">
        <v>340</v>
      </c>
      <c r="R100" s="4" t="s">
        <v>41</v>
      </c>
      <c r="S100" s="4" t="s">
        <v>1121</v>
      </c>
      <c r="T100" s="7">
        <v>2742</v>
      </c>
      <c r="U100" s="7">
        <v>2820</v>
      </c>
      <c r="V100" s="7">
        <v>2948</v>
      </c>
      <c r="W100" s="15" t="s">
        <v>1095</v>
      </c>
      <c r="X100" s="15" t="s">
        <v>1369</v>
      </c>
      <c r="Y100" s="7">
        <v>2710</v>
      </c>
      <c r="Z100" s="7">
        <v>60</v>
      </c>
      <c r="AA100" s="7" t="s">
        <v>340</v>
      </c>
      <c r="AB100" s="7" t="s">
        <v>340</v>
      </c>
      <c r="AC100" s="7">
        <v>4020</v>
      </c>
      <c r="AD100" s="7">
        <v>200</v>
      </c>
      <c r="AE100" s="7">
        <v>3414</v>
      </c>
      <c r="AF100" s="7" t="s">
        <v>939</v>
      </c>
      <c r="AG100" s="7" t="s">
        <v>340</v>
      </c>
      <c r="AH100" s="5">
        <v>1</v>
      </c>
      <c r="AI100" s="5">
        <v>1</v>
      </c>
      <c r="AJ100" s="9">
        <f>IF(AND(ISNUMBER(F100),ISNUMBER(G100),ISNUMBER(K100),ISNUMBER(L100)),ACOS(MIN(1,COS(RADIANS(90-F100))*COS(RADIANS(90-K100))+SIN(RADIANS(90-F100))*SIN(RADIANS(90-K100))*COS(RADIANS(G100-L100))))*6371,"N/A")</f>
        <v>43.558812999388323</v>
      </c>
      <c r="AK100" s="10">
        <f>IF(AND(ISNUMBER(F100),ISNUMBER(G100),ISNUMBER(K100),ISNUMBER(L100)),MOD(DEGREES(ATAN2(COS(RADIANS(K100))*SIN(RADIANS(F100))-SIN(RADIANS(K100))*COS(RADIANS(F100))*COS(RADIANS(G100-L100)),SIN(RADIANS(G100-L100))*COS(RADIANS(F100))))+360,360),"N/A")</f>
        <v>146.97940972353956</v>
      </c>
      <c r="AL100" s="10" t="str">
        <f>IF(AND(ISNUMBER(F100),ISNUMBER(G100),ISNUMBER(M100),ISNUMBER(N100)),ACOS(MIN(1,COS(RADIANS(90-F100))*COS(RADIANS(90-M100))+SIN(RADIANS(90-F100))*SIN(RADIANS(90-M100))*COS(RADIANS(G100-N100))))*6371,"N/A")</f>
        <v>N/A</v>
      </c>
      <c r="AM100" s="10" t="str">
        <f>IF(AND(ISNUMBER(F100),ISNUMBER(G100),ISNUMBER(M100),ISNUMBER(N100)),MOD(DEGREES(ATAN2(COS(RADIANS(M100))*SIN(RADIANS(F100))-SIN(RADIANS(M100))*COS(RADIANS(F100))*COS(RADIANS(G100-N100)),SIN(RADIANS(G100-N100))*COS(RADIANS(F100))))+360,360),"N/A")</f>
        <v>N/A</v>
      </c>
      <c r="AN100" s="2"/>
      <c r="AO100" s="2"/>
    </row>
    <row r="101" spans="1:41" x14ac:dyDescent="0.2">
      <c r="A101" s="8" t="s">
        <v>811</v>
      </c>
      <c r="B101" s="4" t="s">
        <v>791</v>
      </c>
      <c r="C101" s="5" t="s">
        <v>340</v>
      </c>
      <c r="D101" s="4" t="s">
        <v>70</v>
      </c>
      <c r="E101" s="4" t="s">
        <v>89</v>
      </c>
      <c r="F101" s="6">
        <v>40.492199999999997</v>
      </c>
      <c r="G101" s="6">
        <v>14.7067</v>
      </c>
      <c r="H101" s="7">
        <v>-320</v>
      </c>
      <c r="I101" s="4" t="s">
        <v>790</v>
      </c>
      <c r="J101" s="4" t="s">
        <v>16</v>
      </c>
      <c r="K101" s="6">
        <v>40.820999999999998</v>
      </c>
      <c r="L101" s="6">
        <v>14.426</v>
      </c>
      <c r="M101" s="5" t="s">
        <v>340</v>
      </c>
      <c r="N101" s="5" t="s">
        <v>340</v>
      </c>
      <c r="O101" s="4" t="s">
        <v>38</v>
      </c>
      <c r="P101" s="5">
        <v>6</v>
      </c>
      <c r="Q101" s="5" t="s">
        <v>340</v>
      </c>
      <c r="R101" s="4" t="s">
        <v>41</v>
      </c>
      <c r="S101" s="4" t="s">
        <v>1121</v>
      </c>
      <c r="T101" s="7" t="s">
        <v>920</v>
      </c>
      <c r="U101" s="7">
        <v>3839</v>
      </c>
      <c r="V101" s="7" t="s">
        <v>921</v>
      </c>
      <c r="W101" s="15" t="s">
        <v>922</v>
      </c>
      <c r="X101" s="21" t="s">
        <v>919</v>
      </c>
      <c r="Y101" s="7" t="s">
        <v>340</v>
      </c>
      <c r="Z101" s="7" t="s">
        <v>340</v>
      </c>
      <c r="AA101" s="7" t="s">
        <v>340</v>
      </c>
      <c r="AB101" s="7" t="s">
        <v>340</v>
      </c>
      <c r="AC101" s="7">
        <v>4310</v>
      </c>
      <c r="AD101" s="7">
        <v>220</v>
      </c>
      <c r="AE101" s="7">
        <v>3839</v>
      </c>
      <c r="AF101" s="7">
        <v>21</v>
      </c>
      <c r="AG101" s="7" t="s">
        <v>340</v>
      </c>
      <c r="AH101" s="5">
        <v>1</v>
      </c>
      <c r="AI101" s="5">
        <v>1</v>
      </c>
      <c r="AJ101" s="9">
        <f>IF(AND(ISNUMBER(F101),ISNUMBER(G101),ISNUMBER(K101),ISNUMBER(L101)),ACOS(MIN(1,COS(RADIANS(90-F101))*COS(RADIANS(90-K101))+SIN(RADIANS(90-F101))*SIN(RADIANS(90-K101))*COS(RADIANS(G101-L101))))*6371,"N/A")</f>
        <v>43.558812999388323</v>
      </c>
      <c r="AK101" s="10">
        <f>IF(AND(ISNUMBER(F101),ISNUMBER(G101),ISNUMBER(K101),ISNUMBER(L101)),MOD(DEGREES(ATAN2(COS(RADIANS(K101))*SIN(RADIANS(F101))-SIN(RADIANS(K101))*COS(RADIANS(F101))*COS(RADIANS(G101-L101)),SIN(RADIANS(G101-L101))*COS(RADIANS(F101))))+360,360),"N/A")</f>
        <v>146.97940972353956</v>
      </c>
      <c r="AL101" s="10" t="str">
        <f>IF(AND(ISNUMBER(F101),ISNUMBER(G101),ISNUMBER(M101),ISNUMBER(N101)),ACOS(MIN(1,COS(RADIANS(90-F101))*COS(RADIANS(90-M101))+SIN(RADIANS(90-F101))*SIN(RADIANS(90-M101))*COS(RADIANS(G101-N101))))*6371,"N/A")</f>
        <v>N/A</v>
      </c>
      <c r="AM101" s="10" t="str">
        <f>IF(AND(ISNUMBER(F101),ISNUMBER(G101),ISNUMBER(M101),ISNUMBER(N101)),MOD(DEGREES(ATAN2(COS(RADIANS(M101))*SIN(RADIANS(F101))-SIN(RADIANS(M101))*COS(RADIANS(F101))*COS(RADIANS(G101-N101)),SIN(RADIANS(G101-N101))*COS(RADIANS(F101))))+360,360),"N/A")</f>
        <v>N/A</v>
      </c>
      <c r="AN101" s="2"/>
      <c r="AO101" s="2"/>
    </row>
    <row r="102" spans="1:41" x14ac:dyDescent="0.2">
      <c r="A102" s="8" t="s">
        <v>816</v>
      </c>
      <c r="B102" s="4" t="s">
        <v>791</v>
      </c>
      <c r="C102" s="5" t="s">
        <v>340</v>
      </c>
      <c r="D102" s="4" t="s">
        <v>70</v>
      </c>
      <c r="E102" s="4" t="s">
        <v>89</v>
      </c>
      <c r="F102" s="6">
        <v>40.492199999999997</v>
      </c>
      <c r="G102" s="6">
        <v>14.7067</v>
      </c>
      <c r="H102" s="7">
        <v>-320</v>
      </c>
      <c r="I102" s="4" t="s">
        <v>790</v>
      </c>
      <c r="J102" s="4" t="s">
        <v>16</v>
      </c>
      <c r="K102" s="6">
        <v>40.820999999999998</v>
      </c>
      <c r="L102" s="6">
        <v>14.426</v>
      </c>
      <c r="M102" s="5" t="s">
        <v>340</v>
      </c>
      <c r="N102" s="5" t="s">
        <v>340</v>
      </c>
      <c r="O102" s="4" t="s">
        <v>837</v>
      </c>
      <c r="P102" s="5">
        <v>8</v>
      </c>
      <c r="Q102" s="5" t="s">
        <v>340</v>
      </c>
      <c r="R102" s="4" t="s">
        <v>41</v>
      </c>
      <c r="S102" s="4" t="s">
        <v>1121</v>
      </c>
      <c r="T102" s="7">
        <v>1353</v>
      </c>
      <c r="U102" s="7">
        <v>1455</v>
      </c>
      <c r="V102" s="7">
        <v>1539</v>
      </c>
      <c r="W102" s="15" t="s">
        <v>1099</v>
      </c>
      <c r="X102" s="15" t="s">
        <v>1371</v>
      </c>
      <c r="Y102" s="7">
        <v>1570</v>
      </c>
      <c r="Z102" s="7">
        <v>50</v>
      </c>
      <c r="AA102" s="7" t="s">
        <v>340</v>
      </c>
      <c r="AB102" s="7" t="s">
        <v>340</v>
      </c>
      <c r="AC102" s="7" t="s">
        <v>340</v>
      </c>
      <c r="AD102" s="7" t="s">
        <v>340</v>
      </c>
      <c r="AE102" s="7" t="s">
        <v>340</v>
      </c>
      <c r="AF102" s="7" t="s">
        <v>340</v>
      </c>
      <c r="AG102" s="7" t="s">
        <v>340</v>
      </c>
      <c r="AH102" s="5">
        <v>1</v>
      </c>
      <c r="AI102" s="5">
        <v>1</v>
      </c>
      <c r="AJ102" s="9">
        <f>IF(AND(ISNUMBER(F102),ISNUMBER(G102),ISNUMBER(K102),ISNUMBER(L102)),ACOS(MIN(1,COS(RADIANS(90-F102))*COS(RADIANS(90-K102))+SIN(RADIANS(90-F102))*SIN(RADIANS(90-K102))*COS(RADIANS(G102-L102))))*6371,"N/A")</f>
        <v>43.558812999388323</v>
      </c>
      <c r="AK102" s="10">
        <f>IF(AND(ISNUMBER(F102),ISNUMBER(G102),ISNUMBER(K102),ISNUMBER(L102)),MOD(DEGREES(ATAN2(COS(RADIANS(K102))*SIN(RADIANS(F102))-SIN(RADIANS(K102))*COS(RADIANS(F102))*COS(RADIANS(G102-L102)),SIN(RADIANS(G102-L102))*COS(RADIANS(F102))))+360,360),"N/A")</f>
        <v>146.97940972353956</v>
      </c>
      <c r="AL102" s="10" t="str">
        <f>IF(AND(ISNUMBER(F102),ISNUMBER(G102),ISNUMBER(M102),ISNUMBER(N102)),ACOS(MIN(1,COS(RADIANS(90-F102))*COS(RADIANS(90-M102))+SIN(RADIANS(90-F102))*SIN(RADIANS(90-M102))*COS(RADIANS(G102-N102))))*6371,"N/A")</f>
        <v>N/A</v>
      </c>
      <c r="AM102" s="10" t="str">
        <f>IF(AND(ISNUMBER(F102),ISNUMBER(G102),ISNUMBER(M102),ISNUMBER(N102)),MOD(DEGREES(ATAN2(COS(RADIANS(M102))*SIN(RADIANS(F102))-SIN(RADIANS(M102))*COS(RADIANS(F102))*COS(RADIANS(G102-N102)),SIN(RADIANS(G102-N102))*COS(RADIANS(F102))))+360,360),"N/A")</f>
        <v>N/A</v>
      </c>
      <c r="AN102" s="2"/>
      <c r="AO102" s="2"/>
    </row>
    <row r="103" spans="1:41" x14ac:dyDescent="0.2">
      <c r="A103" s="8" t="s">
        <v>817</v>
      </c>
      <c r="B103" s="4" t="s">
        <v>791</v>
      </c>
      <c r="C103" s="5" t="s">
        <v>340</v>
      </c>
      <c r="D103" s="4" t="s">
        <v>70</v>
      </c>
      <c r="E103" s="4" t="s">
        <v>89</v>
      </c>
      <c r="F103" s="6">
        <v>40.492199999999997</v>
      </c>
      <c r="G103" s="6">
        <v>14.7067</v>
      </c>
      <c r="H103" s="7">
        <v>-320</v>
      </c>
      <c r="I103" s="4" t="s">
        <v>790</v>
      </c>
      <c r="J103" s="4" t="s">
        <v>16</v>
      </c>
      <c r="K103" s="6">
        <v>40.820999999999998</v>
      </c>
      <c r="L103" s="6">
        <v>14.426</v>
      </c>
      <c r="M103" s="5" t="s">
        <v>340</v>
      </c>
      <c r="N103" s="5" t="s">
        <v>340</v>
      </c>
      <c r="O103" s="4" t="s">
        <v>838</v>
      </c>
      <c r="P103" s="5">
        <v>7</v>
      </c>
      <c r="Q103" s="5" t="s">
        <v>340</v>
      </c>
      <c r="R103" s="4" t="s">
        <v>41</v>
      </c>
      <c r="S103" s="4" t="s">
        <v>1121</v>
      </c>
      <c r="T103" s="7">
        <v>1192</v>
      </c>
      <c r="U103" s="7">
        <v>1289</v>
      </c>
      <c r="V103" s="7">
        <v>1305</v>
      </c>
      <c r="W103" s="15" t="s">
        <v>1346</v>
      </c>
      <c r="X103" s="15" t="s">
        <v>1372</v>
      </c>
      <c r="Y103" s="7" t="s">
        <v>1157</v>
      </c>
      <c r="Z103" s="7" t="s">
        <v>1160</v>
      </c>
      <c r="AA103" s="7" t="s">
        <v>340</v>
      </c>
      <c r="AB103" s="7" t="s">
        <v>340</v>
      </c>
      <c r="AC103" s="7" t="s">
        <v>340</v>
      </c>
      <c r="AD103" s="7" t="s">
        <v>340</v>
      </c>
      <c r="AE103" s="7" t="s">
        <v>340</v>
      </c>
      <c r="AF103" s="7" t="s">
        <v>340</v>
      </c>
      <c r="AG103" s="7" t="s">
        <v>340</v>
      </c>
      <c r="AH103" s="5">
        <v>1</v>
      </c>
      <c r="AI103" s="5">
        <v>1</v>
      </c>
      <c r="AJ103" s="9">
        <f>IF(AND(ISNUMBER(F103),ISNUMBER(G103),ISNUMBER(K103),ISNUMBER(L103)),ACOS(MIN(1,COS(RADIANS(90-F103))*COS(RADIANS(90-K103))+SIN(RADIANS(90-F103))*SIN(RADIANS(90-K103))*COS(RADIANS(G103-L103))))*6371,"N/A")</f>
        <v>43.558812999388323</v>
      </c>
      <c r="AK103" s="10">
        <f>IF(AND(ISNUMBER(F103),ISNUMBER(G103),ISNUMBER(K103),ISNUMBER(L103)),MOD(DEGREES(ATAN2(COS(RADIANS(K103))*SIN(RADIANS(F103))-SIN(RADIANS(K103))*COS(RADIANS(F103))*COS(RADIANS(G103-L103)),SIN(RADIANS(G103-L103))*COS(RADIANS(F103))))+360,360),"N/A")</f>
        <v>146.97940972353956</v>
      </c>
      <c r="AL103" s="10" t="str">
        <f>IF(AND(ISNUMBER(F103),ISNUMBER(G103),ISNUMBER(M103),ISNUMBER(N103)),ACOS(MIN(1,COS(RADIANS(90-F103))*COS(RADIANS(90-M103))+SIN(RADIANS(90-F103))*SIN(RADIANS(90-M103))*COS(RADIANS(G103-N103))))*6371,"N/A")</f>
        <v>N/A</v>
      </c>
      <c r="AM103" s="10" t="str">
        <f>IF(AND(ISNUMBER(F103),ISNUMBER(G103),ISNUMBER(M103),ISNUMBER(N103)),MOD(DEGREES(ATAN2(COS(RADIANS(M103))*SIN(RADIANS(F103))-SIN(RADIANS(M103))*COS(RADIANS(F103))*COS(RADIANS(G103-N103)),SIN(RADIANS(G103-N103))*COS(RADIANS(F103))))+360,360),"N/A")</f>
        <v>N/A</v>
      </c>
      <c r="AN103" s="2"/>
      <c r="AO103" s="2"/>
    </row>
    <row r="104" spans="1:41" x14ac:dyDescent="0.2">
      <c r="A104" s="4" t="s">
        <v>565</v>
      </c>
      <c r="B104" s="4" t="s">
        <v>556</v>
      </c>
      <c r="C104" s="5" t="s">
        <v>340</v>
      </c>
      <c r="D104" s="4" t="s">
        <v>70</v>
      </c>
      <c r="E104" s="4" t="s">
        <v>77</v>
      </c>
      <c r="F104" s="6">
        <v>42.103499999999997</v>
      </c>
      <c r="G104" s="6">
        <v>36.623800000000003</v>
      </c>
      <c r="H104" s="7" t="s">
        <v>340</v>
      </c>
      <c r="I104" s="4" t="s">
        <v>616</v>
      </c>
      <c r="J104" s="4" t="s">
        <v>557</v>
      </c>
      <c r="K104" s="6">
        <v>38.536999999999999</v>
      </c>
      <c r="L104" s="6">
        <v>34.621000000000002</v>
      </c>
      <c r="M104" s="5" t="s">
        <v>340</v>
      </c>
      <c r="N104" s="5" t="s">
        <v>340</v>
      </c>
      <c r="O104" s="4" t="s">
        <v>1076</v>
      </c>
      <c r="P104" s="5">
        <v>36</v>
      </c>
      <c r="Q104" s="5">
        <v>9999</v>
      </c>
      <c r="R104" s="4" t="s">
        <v>184</v>
      </c>
      <c r="S104" s="4" t="s">
        <v>1121</v>
      </c>
      <c r="T104" s="7">
        <v>21700</v>
      </c>
      <c r="U104" s="7">
        <v>24350</v>
      </c>
      <c r="V104" s="7">
        <v>27000</v>
      </c>
      <c r="W104" s="15" t="s">
        <v>1100</v>
      </c>
      <c r="X104" s="15" t="s">
        <v>918</v>
      </c>
      <c r="Y104" s="7" t="s">
        <v>340</v>
      </c>
      <c r="Z104" s="7" t="s">
        <v>340</v>
      </c>
      <c r="AA104" s="7" t="s">
        <v>1150</v>
      </c>
      <c r="AB104" s="2">
        <v>2100</v>
      </c>
      <c r="AC104" s="7" t="s">
        <v>340</v>
      </c>
      <c r="AD104" s="7" t="s">
        <v>340</v>
      </c>
      <c r="AE104" s="7" t="s">
        <v>340</v>
      </c>
      <c r="AF104" s="7" t="s">
        <v>340</v>
      </c>
      <c r="AG104" s="7" t="s">
        <v>340</v>
      </c>
      <c r="AH104" s="5">
        <v>1</v>
      </c>
      <c r="AI104" s="5">
        <v>1</v>
      </c>
      <c r="AJ104" s="9">
        <f>IF(AND(ISNUMBER(F104),ISNUMBER(G104),ISNUMBER(K104),ISNUMBER(L104)),ACOS(MIN(1,COS(RADIANS(90-F104))*COS(RADIANS(90-K104))+SIN(RADIANS(90-F104))*SIN(RADIANS(90-K104))*COS(RADIANS(G104-L104))))*6371,"N/A")</f>
        <v>431.36201045596187</v>
      </c>
      <c r="AK104" s="10">
        <f>IF(AND(ISNUMBER(F104),ISNUMBER(G104),ISNUMBER(K104),ISNUMBER(L104)),MOD(DEGREES(ATAN2(COS(RADIANS(K104))*SIN(RADIANS(F104))-SIN(RADIANS(K104))*COS(RADIANS(F104))*COS(RADIANS(G104-L104)),SIN(RADIANS(G104-L104))*COS(RADIANS(F104))))+360,360),"N/A")</f>
        <v>22.535563218676771</v>
      </c>
      <c r="AL104" s="10" t="str">
        <f>IF(AND(ISNUMBER(F104),ISNUMBER(G104),ISNUMBER(M104),ISNUMBER(N104)),ACOS(MIN(1,COS(RADIANS(90-F104))*COS(RADIANS(90-M104))+SIN(RADIANS(90-F104))*SIN(RADIANS(90-M104))*COS(RADIANS(G104-N104))))*6371,"N/A")</f>
        <v>N/A</v>
      </c>
      <c r="AM104" s="10" t="str">
        <f>IF(AND(ISNUMBER(F104),ISNUMBER(G104),ISNUMBER(M104),ISNUMBER(N104)),MOD(DEGREES(ATAN2(COS(RADIANS(M104))*SIN(RADIANS(F104))-SIN(RADIANS(M104))*COS(RADIANS(F104))*COS(RADIANS(G104-N104)),SIN(RADIANS(G104-N104))*COS(RADIANS(F104))))+360,360),"N/A")</f>
        <v>N/A</v>
      </c>
      <c r="AN104" s="2"/>
      <c r="AO104" s="2"/>
    </row>
    <row r="105" spans="1:41" x14ac:dyDescent="0.2">
      <c r="A105" s="4" t="s">
        <v>566</v>
      </c>
      <c r="B105" s="4" t="s">
        <v>556</v>
      </c>
      <c r="C105" s="5" t="s">
        <v>340</v>
      </c>
      <c r="D105" s="4" t="s">
        <v>70</v>
      </c>
      <c r="E105" s="4" t="s">
        <v>77</v>
      </c>
      <c r="F105" s="6">
        <v>42.103499999999997</v>
      </c>
      <c r="G105" s="6">
        <v>36.623800000000003</v>
      </c>
      <c r="H105" s="7" t="s">
        <v>340</v>
      </c>
      <c r="I105" s="4" t="s">
        <v>616</v>
      </c>
      <c r="J105" s="4" t="s">
        <v>557</v>
      </c>
      <c r="K105" s="6">
        <v>38.536999999999999</v>
      </c>
      <c r="L105" s="6">
        <v>34.621000000000002</v>
      </c>
      <c r="M105" s="5" t="s">
        <v>340</v>
      </c>
      <c r="N105" s="5" t="s">
        <v>340</v>
      </c>
      <c r="O105" s="4" t="s">
        <v>1076</v>
      </c>
      <c r="P105" s="5">
        <v>30</v>
      </c>
      <c r="Q105" s="5">
        <v>9999</v>
      </c>
      <c r="R105" s="4" t="s">
        <v>184</v>
      </c>
      <c r="S105" s="4" t="s">
        <v>1121</v>
      </c>
      <c r="T105" s="7">
        <v>21700</v>
      </c>
      <c r="U105" s="7">
        <v>24350</v>
      </c>
      <c r="V105" s="7">
        <v>27000</v>
      </c>
      <c r="W105" s="15" t="s">
        <v>1100</v>
      </c>
      <c r="X105" s="15" t="s">
        <v>918</v>
      </c>
      <c r="Y105" s="7" t="s">
        <v>340</v>
      </c>
      <c r="Z105" s="7" t="s">
        <v>340</v>
      </c>
      <c r="AA105" s="7" t="s">
        <v>1151</v>
      </c>
      <c r="AB105" s="2">
        <v>2100</v>
      </c>
      <c r="AC105" s="7" t="s">
        <v>340</v>
      </c>
      <c r="AD105" s="7" t="s">
        <v>340</v>
      </c>
      <c r="AE105" s="7" t="s">
        <v>340</v>
      </c>
      <c r="AF105" s="7" t="s">
        <v>340</v>
      </c>
      <c r="AG105" s="7" t="s">
        <v>340</v>
      </c>
      <c r="AH105" s="5">
        <v>1</v>
      </c>
      <c r="AI105" s="5">
        <v>1</v>
      </c>
      <c r="AJ105" s="9">
        <f>IF(AND(ISNUMBER(F105),ISNUMBER(G105),ISNUMBER(K105),ISNUMBER(L105)),ACOS(MIN(1,COS(RADIANS(90-F105))*COS(RADIANS(90-K105))+SIN(RADIANS(90-F105))*SIN(RADIANS(90-K105))*COS(RADIANS(G105-L105))))*6371,"N/A")</f>
        <v>431.36201045596187</v>
      </c>
      <c r="AK105" s="10">
        <f>IF(AND(ISNUMBER(F105),ISNUMBER(G105),ISNUMBER(K105),ISNUMBER(L105)),MOD(DEGREES(ATAN2(COS(RADIANS(K105))*SIN(RADIANS(F105))-SIN(RADIANS(K105))*COS(RADIANS(F105))*COS(RADIANS(G105-L105)),SIN(RADIANS(G105-L105))*COS(RADIANS(F105))))+360,360),"N/A")</f>
        <v>22.535563218676771</v>
      </c>
      <c r="AL105" s="10" t="str">
        <f>IF(AND(ISNUMBER(F105),ISNUMBER(G105),ISNUMBER(M105),ISNUMBER(N105)),ACOS(MIN(1,COS(RADIANS(90-F105))*COS(RADIANS(90-M105))+SIN(RADIANS(90-F105))*SIN(RADIANS(90-M105))*COS(RADIANS(G105-N105))))*6371,"N/A")</f>
        <v>N/A</v>
      </c>
      <c r="AM105" s="10" t="str">
        <f>IF(AND(ISNUMBER(F105),ISNUMBER(G105),ISNUMBER(M105),ISNUMBER(N105)),MOD(DEGREES(ATAN2(COS(RADIANS(M105))*SIN(RADIANS(F105))-SIN(RADIANS(M105))*COS(RADIANS(F105))*COS(RADIANS(G105-N105)),SIN(RADIANS(G105-N105))*COS(RADIANS(F105))))+360,360),"N/A")</f>
        <v>N/A</v>
      </c>
      <c r="AN105" s="2"/>
      <c r="AO105" s="2"/>
    </row>
    <row r="106" spans="1:41" x14ac:dyDescent="0.2">
      <c r="A106" s="4" t="s">
        <v>560</v>
      </c>
      <c r="B106" s="4" t="s">
        <v>556</v>
      </c>
      <c r="C106" s="5" t="s">
        <v>340</v>
      </c>
      <c r="D106" s="4" t="s">
        <v>70</v>
      </c>
      <c r="E106" s="4" t="s">
        <v>77</v>
      </c>
      <c r="F106" s="6">
        <v>42.103499999999997</v>
      </c>
      <c r="G106" s="6">
        <v>36.623800000000003</v>
      </c>
      <c r="H106" s="7" t="s">
        <v>340</v>
      </c>
      <c r="I106" s="4" t="s">
        <v>616</v>
      </c>
      <c r="J106" s="4" t="s">
        <v>368</v>
      </c>
      <c r="K106" s="6">
        <v>38.530999999999999</v>
      </c>
      <c r="L106" s="6">
        <v>35.447000000000003</v>
      </c>
      <c r="M106" s="5" t="s">
        <v>340</v>
      </c>
      <c r="N106" s="5" t="s">
        <v>340</v>
      </c>
      <c r="O106" s="4" t="s">
        <v>558</v>
      </c>
      <c r="P106" s="5">
        <v>14</v>
      </c>
      <c r="Q106" s="5">
        <v>9999</v>
      </c>
      <c r="R106" s="4" t="s">
        <v>184</v>
      </c>
      <c r="S106" s="4" t="s">
        <v>1121</v>
      </c>
      <c r="T106" s="7">
        <v>7900</v>
      </c>
      <c r="U106" s="7">
        <v>9050</v>
      </c>
      <c r="V106" s="7">
        <v>10200</v>
      </c>
      <c r="W106" s="15" t="s">
        <v>1341</v>
      </c>
      <c r="X106" s="15" t="s">
        <v>1332</v>
      </c>
      <c r="Y106" s="7" t="s">
        <v>340</v>
      </c>
      <c r="Z106" s="7" t="s">
        <v>340</v>
      </c>
      <c r="AA106" s="7" t="s">
        <v>1153</v>
      </c>
      <c r="AB106" s="7" t="s">
        <v>1152</v>
      </c>
      <c r="AC106" s="7" t="s">
        <v>340</v>
      </c>
      <c r="AD106" s="7" t="s">
        <v>340</v>
      </c>
      <c r="AE106" s="7" t="s">
        <v>340</v>
      </c>
      <c r="AF106" s="7" t="s">
        <v>340</v>
      </c>
      <c r="AG106" s="7" t="s">
        <v>340</v>
      </c>
      <c r="AH106" s="5">
        <v>1</v>
      </c>
      <c r="AI106" s="5">
        <v>1</v>
      </c>
      <c r="AJ106" s="9">
        <f>IF(AND(ISNUMBER(F106),ISNUMBER(G106),ISNUMBER(K106),ISNUMBER(L106)),ACOS(MIN(1,COS(RADIANS(90-F106))*COS(RADIANS(90-K106))+SIN(RADIANS(90-F106))*SIN(RADIANS(90-K106))*COS(RADIANS(G106-L106))))*6371,"N/A")</f>
        <v>409.5692605426492</v>
      </c>
      <c r="AK106" s="10">
        <f>IF(AND(ISNUMBER(F106),ISNUMBER(G106),ISNUMBER(K106),ISNUMBER(L106)),MOD(DEGREES(ATAN2(COS(RADIANS(K106))*SIN(RADIANS(F106))-SIN(RADIANS(K106))*COS(RADIANS(F106))*COS(RADIANS(G106-L106)),SIN(RADIANS(G106-L106))*COS(RADIANS(F106))))+360,360),"N/A")</f>
        <v>13.72069755087557</v>
      </c>
      <c r="AL106" s="10" t="str">
        <f>IF(AND(ISNUMBER(F106),ISNUMBER(G106),ISNUMBER(M106),ISNUMBER(N106)),ACOS(MIN(1,COS(RADIANS(90-F106))*COS(RADIANS(90-M106))+SIN(RADIANS(90-F106))*SIN(RADIANS(90-M106))*COS(RADIANS(G106-N106))))*6371,"N/A")</f>
        <v>N/A</v>
      </c>
      <c r="AM106" s="10" t="str">
        <f>IF(AND(ISNUMBER(F106),ISNUMBER(G106),ISNUMBER(M106),ISNUMBER(N106)),MOD(DEGREES(ATAN2(COS(RADIANS(M106))*SIN(RADIANS(F106))-SIN(RADIANS(M106))*COS(RADIANS(F106))*COS(RADIANS(G106-N106)),SIN(RADIANS(G106-N106))*COS(RADIANS(F106))))+360,360),"N/A")</f>
        <v>N/A</v>
      </c>
      <c r="AN106" s="2"/>
      <c r="AO106" s="2"/>
    </row>
    <row r="107" spans="1:41" x14ac:dyDescent="0.2">
      <c r="A107" s="4" t="s">
        <v>559</v>
      </c>
      <c r="B107" s="4" t="s">
        <v>556</v>
      </c>
      <c r="C107" s="5" t="s">
        <v>340</v>
      </c>
      <c r="D107" s="4" t="s">
        <v>70</v>
      </c>
      <c r="E107" s="4" t="s">
        <v>77</v>
      </c>
      <c r="F107" s="6">
        <v>42.103499999999997</v>
      </c>
      <c r="G107" s="6">
        <v>36.623800000000003</v>
      </c>
      <c r="H107" s="7" t="s">
        <v>340</v>
      </c>
      <c r="I107" s="4" t="s">
        <v>616</v>
      </c>
      <c r="J107" s="4" t="s">
        <v>241</v>
      </c>
      <c r="K107" s="6">
        <v>36.404000000000003</v>
      </c>
      <c r="L107" s="6">
        <v>25.396000000000001</v>
      </c>
      <c r="M107" s="5" t="s">
        <v>340</v>
      </c>
      <c r="N107" s="5" t="s">
        <v>340</v>
      </c>
      <c r="O107" s="4" t="s">
        <v>387</v>
      </c>
      <c r="P107" s="5">
        <v>17</v>
      </c>
      <c r="Q107" s="5" t="s">
        <v>1029</v>
      </c>
      <c r="R107" s="4" t="s">
        <v>184</v>
      </c>
      <c r="S107" s="4" t="s">
        <v>1121</v>
      </c>
      <c r="T107" s="7">
        <v>3510</v>
      </c>
      <c r="U107" s="7">
        <v>3535</v>
      </c>
      <c r="V107" s="7">
        <v>3559</v>
      </c>
      <c r="W107" s="21" t="s">
        <v>935</v>
      </c>
      <c r="X107" s="21" t="s">
        <v>852</v>
      </c>
      <c r="Y107" s="7" t="s">
        <v>340</v>
      </c>
      <c r="Z107" s="7" t="s">
        <v>340</v>
      </c>
      <c r="AA107" s="7" t="s">
        <v>340</v>
      </c>
      <c r="AB107" s="7" t="s">
        <v>340</v>
      </c>
      <c r="AC107" s="7" t="s">
        <v>340</v>
      </c>
      <c r="AD107" s="7" t="s">
        <v>340</v>
      </c>
      <c r="AE107" s="7">
        <v>3535</v>
      </c>
      <c r="AF107" s="7">
        <v>25</v>
      </c>
      <c r="AG107" s="7" t="s">
        <v>340</v>
      </c>
      <c r="AH107" s="5">
        <v>1</v>
      </c>
      <c r="AI107" s="5">
        <v>1</v>
      </c>
      <c r="AJ107" s="9">
        <f>IF(AND(ISNUMBER(F107),ISNUMBER(G107),ISNUMBER(K107),ISNUMBER(L107)),ACOS(MIN(1,COS(RADIANS(90-F107))*COS(RADIANS(90-K107))+SIN(RADIANS(90-F107))*SIN(RADIANS(90-K107))*COS(RADIANS(G107-L107))))*6371,"N/A")</f>
        <v>1154.4481797433996</v>
      </c>
      <c r="AK107" s="10">
        <f>IF(AND(ISNUMBER(F107),ISNUMBER(G107),ISNUMBER(K107),ISNUMBER(L107)),MOD(DEGREES(ATAN2(COS(RADIANS(K107))*SIN(RADIANS(F107))-SIN(RADIANS(K107))*COS(RADIANS(F107))*COS(RADIANS(G107-L107)),SIN(RADIANS(G107-L107))*COS(RADIANS(F107))))+360,360),"N/A")</f>
        <v>53.284828812245905</v>
      </c>
      <c r="AL107" s="10" t="str">
        <f>IF(AND(ISNUMBER(F107),ISNUMBER(G107),ISNUMBER(M107),ISNUMBER(N107)),ACOS(MIN(1,COS(RADIANS(90-F107))*COS(RADIANS(90-M107))+SIN(RADIANS(90-F107))*SIN(RADIANS(90-M107))*COS(RADIANS(G107-N107))))*6371,"N/A")</f>
        <v>N/A</v>
      </c>
      <c r="AM107" s="10" t="str">
        <f>IF(AND(ISNUMBER(F107),ISNUMBER(G107),ISNUMBER(M107),ISNUMBER(N107)),MOD(DEGREES(ATAN2(COS(RADIANS(M107))*SIN(RADIANS(F107))-SIN(RADIANS(M107))*COS(RADIANS(F107))*COS(RADIANS(G107-N107)),SIN(RADIANS(G107-N107))*COS(RADIANS(F107))))+360,360),"N/A")</f>
        <v>N/A</v>
      </c>
      <c r="AN107" s="2"/>
      <c r="AO107" s="2"/>
    </row>
    <row r="108" spans="1:41" x14ac:dyDescent="0.2">
      <c r="A108" s="4" t="s">
        <v>561</v>
      </c>
      <c r="B108" s="4" t="s">
        <v>556</v>
      </c>
      <c r="C108" s="5" t="s">
        <v>340</v>
      </c>
      <c r="D108" s="4" t="s">
        <v>70</v>
      </c>
      <c r="E108" s="4" t="s">
        <v>77</v>
      </c>
      <c r="F108" s="6">
        <v>42.103499999999997</v>
      </c>
      <c r="G108" s="6">
        <v>36.623800000000003</v>
      </c>
      <c r="H108" s="7" t="s">
        <v>340</v>
      </c>
      <c r="I108" s="4" t="s">
        <v>616</v>
      </c>
      <c r="J108" s="4" t="s">
        <v>1059</v>
      </c>
      <c r="K108" s="6">
        <v>38.536999999999999</v>
      </c>
      <c r="L108" s="6">
        <v>34.621000000000002</v>
      </c>
      <c r="M108" s="5">
        <v>38.5</v>
      </c>
      <c r="N108" s="5">
        <v>35</v>
      </c>
      <c r="O108" s="4" t="s">
        <v>14</v>
      </c>
      <c r="P108" s="5">
        <v>5</v>
      </c>
      <c r="Q108" s="5" t="s">
        <v>1031</v>
      </c>
      <c r="R108" s="4" t="s">
        <v>184</v>
      </c>
      <c r="S108" s="4" t="s">
        <v>1121</v>
      </c>
      <c r="T108" s="7">
        <v>13900</v>
      </c>
      <c r="U108" s="7">
        <v>14400</v>
      </c>
      <c r="V108" s="7">
        <v>14900</v>
      </c>
      <c r="W108" s="15" t="s">
        <v>1101</v>
      </c>
      <c r="X108" s="15" t="s">
        <v>995</v>
      </c>
      <c r="Y108" s="7" t="s">
        <v>340</v>
      </c>
      <c r="Z108" s="7" t="s">
        <v>340</v>
      </c>
      <c r="AA108" s="7" t="s">
        <v>340</v>
      </c>
      <c r="AB108" s="7" t="s">
        <v>340</v>
      </c>
      <c r="AC108" s="7" t="s">
        <v>340</v>
      </c>
      <c r="AD108" s="12" t="s">
        <v>340</v>
      </c>
      <c r="AE108" s="7">
        <v>14400</v>
      </c>
      <c r="AF108" s="7" t="s">
        <v>340</v>
      </c>
      <c r="AG108" s="7" t="s">
        <v>340</v>
      </c>
      <c r="AH108" s="5">
        <v>1</v>
      </c>
      <c r="AI108" s="5">
        <v>1</v>
      </c>
      <c r="AJ108" s="9">
        <f>IF(AND(ISNUMBER(F108),ISNUMBER(G108),ISNUMBER(K108),ISNUMBER(L108)),ACOS(MIN(1,COS(RADIANS(90-F108))*COS(RADIANS(90-K108))+SIN(RADIANS(90-F108))*SIN(RADIANS(90-K108))*COS(RADIANS(G108-L108))))*6371,"N/A")</f>
        <v>431.36201045596187</v>
      </c>
      <c r="AK108" s="10">
        <f>IF(AND(ISNUMBER(F108),ISNUMBER(G108),ISNUMBER(K108),ISNUMBER(L108)),MOD(DEGREES(ATAN2(COS(RADIANS(K108))*SIN(RADIANS(F108))-SIN(RADIANS(K108))*COS(RADIANS(F108))*COS(RADIANS(G108-L108)),SIN(RADIANS(G108-L108))*COS(RADIANS(F108))))+360,360),"N/A")</f>
        <v>22.535563218676771</v>
      </c>
      <c r="AL108" s="10">
        <f>IF(AND(ISNUMBER(F108),ISNUMBER(G108),ISNUMBER(M108),ISNUMBER(N108)),ACOS(MIN(1,COS(RADIANS(90-F108))*COS(RADIANS(90-M108))+SIN(RADIANS(90-F108))*SIN(RADIANS(90-M108))*COS(RADIANS(G108-N108))))*6371,"N/A")</f>
        <v>423.66841912848002</v>
      </c>
      <c r="AM108" s="10">
        <f>IF(AND(ISNUMBER(F108),ISNUMBER(G108),ISNUMBER(M108),ISNUMBER(N108)),MOD(DEGREES(ATAN2(COS(RADIANS(M108))*SIN(RADIANS(F108))-SIN(RADIANS(M108))*COS(RADIANS(F108))*COS(RADIANS(G108-N108)),SIN(RADIANS(G108-N108))*COS(RADIANS(F108))))+360,360),"N/A")</f>
        <v>18.444591382717704</v>
      </c>
      <c r="AN108" s="2"/>
      <c r="AO108" s="2"/>
    </row>
    <row r="109" spans="1:41" x14ac:dyDescent="0.2">
      <c r="A109" s="4" t="s">
        <v>562</v>
      </c>
      <c r="B109" s="4" t="s">
        <v>556</v>
      </c>
      <c r="C109" s="5" t="s">
        <v>340</v>
      </c>
      <c r="D109" s="4" t="s">
        <v>70</v>
      </c>
      <c r="E109" s="4" t="s">
        <v>77</v>
      </c>
      <c r="F109" s="6">
        <v>42.103499999999997</v>
      </c>
      <c r="G109" s="6">
        <v>36.623800000000003</v>
      </c>
      <c r="H109" s="7" t="s">
        <v>340</v>
      </c>
      <c r="I109" s="4" t="s">
        <v>616</v>
      </c>
      <c r="J109" s="4" t="s">
        <v>1059</v>
      </c>
      <c r="K109" s="6">
        <v>38.536999999999999</v>
      </c>
      <c r="L109" s="6">
        <v>34.621000000000002</v>
      </c>
      <c r="M109" s="5">
        <v>38.5</v>
      </c>
      <c r="N109" s="5">
        <v>35</v>
      </c>
      <c r="O109" s="4" t="s">
        <v>14</v>
      </c>
      <c r="P109" s="5">
        <v>8</v>
      </c>
      <c r="Q109" s="5" t="s">
        <v>1032</v>
      </c>
      <c r="R109" s="4" t="s">
        <v>184</v>
      </c>
      <c r="S109" s="4" t="s">
        <v>1121</v>
      </c>
      <c r="T109" s="7">
        <v>14100</v>
      </c>
      <c r="U109" s="7">
        <v>14600</v>
      </c>
      <c r="V109" s="7">
        <v>15100</v>
      </c>
      <c r="W109" s="15" t="s">
        <v>1102</v>
      </c>
      <c r="X109" s="15" t="s">
        <v>995</v>
      </c>
      <c r="Y109" s="7" t="s">
        <v>340</v>
      </c>
      <c r="Z109" s="7" t="s">
        <v>340</v>
      </c>
      <c r="AA109" s="7" t="s">
        <v>340</v>
      </c>
      <c r="AB109" s="7" t="s">
        <v>340</v>
      </c>
      <c r="AC109" s="7" t="s">
        <v>340</v>
      </c>
      <c r="AD109" s="7" t="s">
        <v>340</v>
      </c>
      <c r="AE109" s="7">
        <v>14600</v>
      </c>
      <c r="AF109" s="7" t="s">
        <v>340</v>
      </c>
      <c r="AG109" s="7" t="s">
        <v>340</v>
      </c>
      <c r="AH109" s="5">
        <v>1</v>
      </c>
      <c r="AI109" s="5">
        <v>1</v>
      </c>
      <c r="AJ109" s="9">
        <f>IF(AND(ISNUMBER(F109),ISNUMBER(G109),ISNUMBER(K109),ISNUMBER(L109)),ACOS(MIN(1,COS(RADIANS(90-F109))*COS(RADIANS(90-K109))+SIN(RADIANS(90-F109))*SIN(RADIANS(90-K109))*COS(RADIANS(G109-L109))))*6371,"N/A")</f>
        <v>431.36201045596187</v>
      </c>
      <c r="AK109" s="10">
        <f>IF(AND(ISNUMBER(F109),ISNUMBER(G109),ISNUMBER(K109),ISNUMBER(L109)),MOD(DEGREES(ATAN2(COS(RADIANS(K109))*SIN(RADIANS(F109))-SIN(RADIANS(K109))*COS(RADIANS(F109))*COS(RADIANS(G109-L109)),SIN(RADIANS(G109-L109))*COS(RADIANS(F109))))+360,360),"N/A")</f>
        <v>22.535563218676771</v>
      </c>
      <c r="AL109" s="10">
        <f>IF(AND(ISNUMBER(F109),ISNUMBER(G109),ISNUMBER(M109),ISNUMBER(N109)),ACOS(MIN(1,COS(RADIANS(90-F109))*COS(RADIANS(90-M109))+SIN(RADIANS(90-F109))*SIN(RADIANS(90-M109))*COS(RADIANS(G109-N109))))*6371,"N/A")</f>
        <v>423.66841912848002</v>
      </c>
      <c r="AM109" s="10">
        <f>IF(AND(ISNUMBER(F109),ISNUMBER(G109),ISNUMBER(M109),ISNUMBER(N109)),MOD(DEGREES(ATAN2(COS(RADIANS(M109))*SIN(RADIANS(F109))-SIN(RADIANS(M109))*COS(RADIANS(F109))*COS(RADIANS(G109-N109)),SIN(RADIANS(G109-N109))*COS(RADIANS(F109))))+360,360),"N/A")</f>
        <v>18.444591382717704</v>
      </c>
      <c r="AN109" s="2"/>
      <c r="AO109" s="2"/>
    </row>
    <row r="110" spans="1:41" x14ac:dyDescent="0.2">
      <c r="A110" s="4" t="s">
        <v>563</v>
      </c>
      <c r="B110" s="4" t="s">
        <v>556</v>
      </c>
      <c r="C110" s="5" t="s">
        <v>340</v>
      </c>
      <c r="D110" s="4" t="s">
        <v>70</v>
      </c>
      <c r="E110" s="4" t="s">
        <v>77</v>
      </c>
      <c r="F110" s="6">
        <v>42.103499999999997</v>
      </c>
      <c r="G110" s="6">
        <v>36.623800000000003</v>
      </c>
      <c r="H110" s="7" t="s">
        <v>340</v>
      </c>
      <c r="I110" s="4" t="s">
        <v>616</v>
      </c>
      <c r="J110" s="4" t="s">
        <v>1059</v>
      </c>
      <c r="K110" s="6">
        <v>38.536999999999999</v>
      </c>
      <c r="L110" s="6">
        <v>34.621000000000002</v>
      </c>
      <c r="M110" s="5">
        <v>38.5</v>
      </c>
      <c r="N110" s="5">
        <v>35</v>
      </c>
      <c r="O110" s="4" t="s">
        <v>14</v>
      </c>
      <c r="P110" s="5">
        <v>21</v>
      </c>
      <c r="Q110" s="5" t="s">
        <v>1033</v>
      </c>
      <c r="R110" s="4" t="s">
        <v>184</v>
      </c>
      <c r="S110" s="4" t="s">
        <v>1121</v>
      </c>
      <c r="T110" s="7">
        <v>14100</v>
      </c>
      <c r="U110" s="7">
        <v>14600</v>
      </c>
      <c r="V110" s="7">
        <v>15100</v>
      </c>
      <c r="W110" s="15" t="s">
        <v>1101</v>
      </c>
      <c r="X110" s="15" t="s">
        <v>996</v>
      </c>
      <c r="Y110" s="7" t="s">
        <v>340</v>
      </c>
      <c r="Z110" s="7" t="s">
        <v>340</v>
      </c>
      <c r="AA110" s="7" t="s">
        <v>340</v>
      </c>
      <c r="AB110" s="7" t="s">
        <v>340</v>
      </c>
      <c r="AC110" s="7" t="s">
        <v>340</v>
      </c>
      <c r="AD110" s="7" t="s">
        <v>340</v>
      </c>
      <c r="AE110" s="7">
        <v>14600</v>
      </c>
      <c r="AF110" s="7" t="s">
        <v>340</v>
      </c>
      <c r="AG110" s="7" t="s">
        <v>340</v>
      </c>
      <c r="AH110" s="5">
        <v>1</v>
      </c>
      <c r="AI110" s="5">
        <v>1</v>
      </c>
      <c r="AJ110" s="9">
        <f>IF(AND(ISNUMBER(F110),ISNUMBER(G110),ISNUMBER(K110),ISNUMBER(L110)),ACOS(MIN(1,COS(RADIANS(90-F110))*COS(RADIANS(90-K110))+SIN(RADIANS(90-F110))*SIN(RADIANS(90-K110))*COS(RADIANS(G110-L110))))*6371,"N/A")</f>
        <v>431.36201045596187</v>
      </c>
      <c r="AK110" s="10">
        <f>IF(AND(ISNUMBER(F110),ISNUMBER(G110),ISNUMBER(K110),ISNUMBER(L110)),MOD(DEGREES(ATAN2(COS(RADIANS(K110))*SIN(RADIANS(F110))-SIN(RADIANS(K110))*COS(RADIANS(F110))*COS(RADIANS(G110-L110)),SIN(RADIANS(G110-L110))*COS(RADIANS(F110))))+360,360),"N/A")</f>
        <v>22.535563218676771</v>
      </c>
      <c r="AL110" s="10">
        <f>IF(AND(ISNUMBER(F110),ISNUMBER(G110),ISNUMBER(M110),ISNUMBER(N110)),ACOS(MIN(1,COS(RADIANS(90-F110))*COS(RADIANS(90-M110))+SIN(RADIANS(90-F110))*SIN(RADIANS(90-M110))*COS(RADIANS(G110-N110))))*6371,"N/A")</f>
        <v>423.66841912848002</v>
      </c>
      <c r="AM110" s="10">
        <f>IF(AND(ISNUMBER(F110),ISNUMBER(G110),ISNUMBER(M110),ISNUMBER(N110)),MOD(DEGREES(ATAN2(COS(RADIANS(M110))*SIN(RADIANS(F110))-SIN(RADIANS(M110))*COS(RADIANS(F110))*COS(RADIANS(G110-N110)),SIN(RADIANS(G110-N110))*COS(RADIANS(F110))))+360,360),"N/A")</f>
        <v>18.444591382717704</v>
      </c>
      <c r="AN110" s="2"/>
      <c r="AO110" s="2"/>
    </row>
    <row r="111" spans="1:41" x14ac:dyDescent="0.2">
      <c r="A111" s="4" t="s">
        <v>564</v>
      </c>
      <c r="B111" s="4" t="s">
        <v>556</v>
      </c>
      <c r="C111" s="5" t="s">
        <v>340</v>
      </c>
      <c r="D111" s="4" t="s">
        <v>70</v>
      </c>
      <c r="E111" s="4" t="s">
        <v>77</v>
      </c>
      <c r="F111" s="6">
        <v>42.103499999999997</v>
      </c>
      <c r="G111" s="6">
        <v>36.623800000000003</v>
      </c>
      <c r="H111" s="7" t="s">
        <v>340</v>
      </c>
      <c r="I111" s="4" t="s">
        <v>616</v>
      </c>
      <c r="J111" s="4" t="s">
        <v>1059</v>
      </c>
      <c r="K111" s="6">
        <v>38.536999999999999</v>
      </c>
      <c r="L111" s="6">
        <v>34.621000000000002</v>
      </c>
      <c r="M111" s="5">
        <v>38.5</v>
      </c>
      <c r="N111" s="5">
        <v>35</v>
      </c>
      <c r="O111" s="4" t="s">
        <v>14</v>
      </c>
      <c r="P111" s="5">
        <v>21</v>
      </c>
      <c r="Q111" s="5" t="s">
        <v>1034</v>
      </c>
      <c r="R111" s="4" t="s">
        <v>184</v>
      </c>
      <c r="S111" s="4" t="s">
        <v>1121</v>
      </c>
      <c r="T111" s="7">
        <v>14000</v>
      </c>
      <c r="U111" s="7">
        <v>15000</v>
      </c>
      <c r="V111" s="7">
        <v>16000</v>
      </c>
      <c r="W111" s="15" t="s">
        <v>1103</v>
      </c>
      <c r="X111" s="15" t="s">
        <v>995</v>
      </c>
      <c r="Y111" s="7"/>
      <c r="Z111" s="7" t="s">
        <v>340</v>
      </c>
      <c r="AA111" s="7" t="s">
        <v>340</v>
      </c>
      <c r="AB111" s="7" t="s">
        <v>340</v>
      </c>
      <c r="AC111" s="7" t="s">
        <v>340</v>
      </c>
      <c r="AD111" s="7" t="s">
        <v>340</v>
      </c>
      <c r="AE111" s="7">
        <v>15000</v>
      </c>
      <c r="AF111" s="7">
        <v>1000</v>
      </c>
      <c r="AG111" s="7" t="s">
        <v>340</v>
      </c>
      <c r="AH111" s="5">
        <v>1</v>
      </c>
      <c r="AI111" s="5">
        <v>1</v>
      </c>
      <c r="AJ111" s="9">
        <f>IF(AND(ISNUMBER(F111),ISNUMBER(G111),ISNUMBER(K111),ISNUMBER(L111)),ACOS(MIN(1,COS(RADIANS(90-F111))*COS(RADIANS(90-K111))+SIN(RADIANS(90-F111))*SIN(RADIANS(90-K111))*COS(RADIANS(G111-L111))))*6371,"N/A")</f>
        <v>431.36201045596187</v>
      </c>
      <c r="AK111" s="10">
        <f>IF(AND(ISNUMBER(F111),ISNUMBER(G111),ISNUMBER(K111),ISNUMBER(L111)),MOD(DEGREES(ATAN2(COS(RADIANS(K111))*SIN(RADIANS(F111))-SIN(RADIANS(K111))*COS(RADIANS(F111))*COS(RADIANS(G111-L111)),SIN(RADIANS(G111-L111))*COS(RADIANS(F111))))+360,360),"N/A")</f>
        <v>22.535563218676771</v>
      </c>
      <c r="AL111" s="10">
        <f>IF(AND(ISNUMBER(F111),ISNUMBER(G111),ISNUMBER(M111),ISNUMBER(N111)),ACOS(MIN(1,COS(RADIANS(90-F111))*COS(RADIANS(90-M111))+SIN(RADIANS(90-F111))*SIN(RADIANS(90-M111))*COS(RADIANS(G111-N111))))*6371,"N/A")</f>
        <v>423.66841912848002</v>
      </c>
      <c r="AM111" s="10">
        <f>IF(AND(ISNUMBER(F111),ISNUMBER(G111),ISNUMBER(M111),ISNUMBER(N111)),MOD(DEGREES(ATAN2(COS(RADIANS(M111))*SIN(RADIANS(F111))-SIN(RADIANS(M111))*COS(RADIANS(F111))*COS(RADIANS(G111-N111)),SIN(RADIANS(G111-N111))*COS(RADIANS(F111))))+360,360),"N/A")</f>
        <v>18.444591382717704</v>
      </c>
      <c r="AN111" s="2"/>
      <c r="AO111" s="2"/>
    </row>
    <row r="112" spans="1:41" x14ac:dyDescent="0.2">
      <c r="A112" s="4" t="s">
        <v>612</v>
      </c>
      <c r="B112" s="4" t="s">
        <v>608</v>
      </c>
      <c r="C112" s="5" t="s">
        <v>340</v>
      </c>
      <c r="D112" s="4" t="s">
        <v>610</v>
      </c>
      <c r="E112" s="4" t="s">
        <v>609</v>
      </c>
      <c r="F112" s="6">
        <v>40.963889000000002</v>
      </c>
      <c r="G112" s="6">
        <v>20.978055999999999</v>
      </c>
      <c r="H112" s="7">
        <v>844</v>
      </c>
      <c r="I112" s="4" t="s">
        <v>611</v>
      </c>
      <c r="J112" s="4" t="s">
        <v>16</v>
      </c>
      <c r="K112" s="6">
        <v>40.820999999999998</v>
      </c>
      <c r="L112" s="6">
        <v>14.426</v>
      </c>
      <c r="M112" s="5" t="s">
        <v>340</v>
      </c>
      <c r="N112" s="5" t="s">
        <v>340</v>
      </c>
      <c r="O112" s="4" t="s">
        <v>668</v>
      </c>
      <c r="P112" s="5">
        <v>12</v>
      </c>
      <c r="Q112" s="5" t="s">
        <v>340</v>
      </c>
      <c r="R112" s="4" t="s">
        <v>184</v>
      </c>
      <c r="S112" s="4" t="s">
        <v>1121</v>
      </c>
      <c r="T112" s="7">
        <v>1438</v>
      </c>
      <c r="U112" s="7">
        <v>1438</v>
      </c>
      <c r="V112" s="7">
        <v>1438</v>
      </c>
      <c r="W112" s="15" t="s">
        <v>898</v>
      </c>
      <c r="X112" s="15" t="s">
        <v>332</v>
      </c>
      <c r="Y112" s="7" t="s">
        <v>340</v>
      </c>
      <c r="Z112" s="7" t="s">
        <v>340</v>
      </c>
      <c r="AA112" s="7" t="s">
        <v>340</v>
      </c>
      <c r="AB112" s="7" t="s">
        <v>340</v>
      </c>
      <c r="AC112" s="7" t="s">
        <v>340</v>
      </c>
      <c r="AD112" s="7" t="s">
        <v>340</v>
      </c>
      <c r="AE112" s="7" t="s">
        <v>340</v>
      </c>
      <c r="AF112" s="7" t="s">
        <v>340</v>
      </c>
      <c r="AG112" s="7" t="s">
        <v>668</v>
      </c>
      <c r="AH112" s="5">
        <v>1</v>
      </c>
      <c r="AI112" s="5">
        <v>1</v>
      </c>
      <c r="AJ112" s="9">
        <f>IF(AND(ISNUMBER(F112),ISNUMBER(G112),ISNUMBER(K112),ISNUMBER(L112)),ACOS(MIN(1,COS(RADIANS(90-F112))*COS(RADIANS(90-K112))+SIN(RADIANS(90-F112))*SIN(RADIANS(90-K112))*COS(RADIANS(G112-L112))))*6371,"N/A")</f>
        <v>550.84405124104899</v>
      </c>
      <c r="AK112" s="10">
        <f>IF(AND(ISNUMBER(F112),ISNUMBER(G112),ISNUMBER(K112),ISNUMBER(L112)),MOD(DEGREES(ATAN2(COS(RADIANS(K112))*SIN(RADIANS(F112))-SIN(RADIANS(K112))*COS(RADIANS(F112))*COS(RADIANS(G112-L112)),SIN(RADIANS(G112-L112))*COS(RADIANS(F112))))+360,360),"N/A")</f>
        <v>86.203360251899539</v>
      </c>
      <c r="AL112" s="10" t="str">
        <f>IF(AND(ISNUMBER(F112),ISNUMBER(G112),ISNUMBER(M112),ISNUMBER(N112)),ACOS(MIN(1,COS(RADIANS(90-F112))*COS(RADIANS(90-M112))+SIN(RADIANS(90-F112))*SIN(RADIANS(90-M112))*COS(RADIANS(G112-N112))))*6371,"N/A")</f>
        <v>N/A</v>
      </c>
      <c r="AM112" s="10" t="str">
        <f>IF(AND(ISNUMBER(F112),ISNUMBER(G112),ISNUMBER(M112),ISNUMBER(N112)),MOD(DEGREES(ATAN2(COS(RADIANS(M112))*SIN(RADIANS(F112))-SIN(RADIANS(M112))*COS(RADIANS(F112))*COS(RADIANS(G112-N112)),SIN(RADIANS(G112-N112))*COS(RADIANS(F112))))+360,360),"N/A")</f>
        <v>N/A</v>
      </c>
      <c r="AN112" s="2"/>
      <c r="AO112" s="2"/>
    </row>
    <row r="113" spans="1:41" x14ac:dyDescent="0.2">
      <c r="A113" s="4" t="s">
        <v>614</v>
      </c>
      <c r="B113" s="4" t="s">
        <v>608</v>
      </c>
      <c r="C113" s="5" t="s">
        <v>340</v>
      </c>
      <c r="D113" s="4" t="s">
        <v>610</v>
      </c>
      <c r="E113" s="4" t="s">
        <v>609</v>
      </c>
      <c r="F113" s="6">
        <v>40.963889000000002</v>
      </c>
      <c r="G113" s="6">
        <v>20.978055999999999</v>
      </c>
      <c r="H113" s="7">
        <v>844</v>
      </c>
      <c r="I113" s="4" t="s">
        <v>611</v>
      </c>
      <c r="J113" s="4" t="s">
        <v>15</v>
      </c>
      <c r="K113" s="6">
        <v>40.826999999999998</v>
      </c>
      <c r="L113" s="6">
        <v>14.138999999999999</v>
      </c>
      <c r="M113" s="5" t="s">
        <v>340</v>
      </c>
      <c r="N113" s="5" t="s">
        <v>340</v>
      </c>
      <c r="O113" s="4" t="s">
        <v>1015</v>
      </c>
      <c r="P113" s="5">
        <v>15</v>
      </c>
      <c r="Q113" s="5" t="s">
        <v>340</v>
      </c>
      <c r="R113" s="4" t="s">
        <v>184</v>
      </c>
      <c r="S113" s="4" t="s">
        <v>1126</v>
      </c>
      <c r="T113" s="7">
        <v>14463</v>
      </c>
      <c r="U113" s="7">
        <v>15065</v>
      </c>
      <c r="V113" s="7">
        <v>15484</v>
      </c>
      <c r="W113" s="15" t="s">
        <v>1091</v>
      </c>
      <c r="X113" s="15" t="s">
        <v>1364</v>
      </c>
      <c r="Y113" s="7">
        <v>12660</v>
      </c>
      <c r="Z113" s="7">
        <v>110</v>
      </c>
      <c r="AA113" s="7" t="s">
        <v>340</v>
      </c>
      <c r="AB113" s="7" t="s">
        <v>340</v>
      </c>
      <c r="AC113" s="7" t="s">
        <v>340</v>
      </c>
      <c r="AD113" s="7" t="s">
        <v>340</v>
      </c>
      <c r="AE113" s="7" t="s">
        <v>340</v>
      </c>
      <c r="AF113" s="7" t="s">
        <v>340</v>
      </c>
      <c r="AG113" s="7" t="s">
        <v>340</v>
      </c>
      <c r="AH113" s="5">
        <v>1</v>
      </c>
      <c r="AI113" s="5">
        <v>1</v>
      </c>
      <c r="AJ113" s="9">
        <f>IF(AND(ISNUMBER(F113),ISNUMBER(G113),ISNUMBER(K113),ISNUMBER(L113)),ACOS(MIN(1,COS(RADIANS(90-F113))*COS(RADIANS(90-K113))+SIN(RADIANS(90-F113))*SIN(RADIANS(90-K113))*COS(RADIANS(G113-L113))))*6371,"N/A")</f>
        <v>574.89693420333754</v>
      </c>
      <c r="AK113" s="10">
        <f>IF(AND(ISNUMBER(F113),ISNUMBER(G113),ISNUMBER(K113),ISNUMBER(L113)),MOD(DEGREES(ATAN2(COS(RADIANS(K113))*SIN(RADIANS(F113))-SIN(RADIANS(K113))*COS(RADIANS(F113))*COS(RADIANS(G113-L113)),SIN(RADIANS(G113-L113))*COS(RADIANS(F113))))+360,360),"N/A")</f>
        <v>86.244788652065267</v>
      </c>
      <c r="AL113" s="10" t="str">
        <f>IF(AND(ISNUMBER(F113),ISNUMBER(G113),ISNUMBER(M113),ISNUMBER(N113)),ACOS(MIN(1,COS(RADIANS(90-F113))*COS(RADIANS(90-M113))+SIN(RADIANS(90-F113))*SIN(RADIANS(90-M113))*COS(RADIANS(G113-N113))))*6371,"N/A")</f>
        <v>N/A</v>
      </c>
      <c r="AM113" s="10" t="str">
        <f>IF(AND(ISNUMBER(F113),ISNUMBER(G113),ISNUMBER(M113),ISNUMBER(N113)),MOD(DEGREES(ATAN2(COS(RADIANS(M113))*SIN(RADIANS(F113))-SIN(RADIANS(M113))*COS(RADIANS(F113))*COS(RADIANS(G113-N113)),SIN(RADIANS(G113-N113))*COS(RADIANS(F113))))+360,360),"N/A")</f>
        <v>N/A</v>
      </c>
      <c r="AN113" s="2"/>
      <c r="AO113" s="2"/>
    </row>
    <row r="114" spans="1:41" x14ac:dyDescent="0.2">
      <c r="A114" s="4" t="s">
        <v>615</v>
      </c>
      <c r="B114" s="4" t="s">
        <v>608</v>
      </c>
      <c r="C114" s="5" t="s">
        <v>340</v>
      </c>
      <c r="D114" s="4" t="s">
        <v>610</v>
      </c>
      <c r="E114" s="4" t="s">
        <v>609</v>
      </c>
      <c r="F114" s="6">
        <v>40.963889000000002</v>
      </c>
      <c r="G114" s="6">
        <v>20.978055999999999</v>
      </c>
      <c r="H114" s="7">
        <v>844</v>
      </c>
      <c r="I114" s="4" t="s">
        <v>611</v>
      </c>
      <c r="J114" s="4" t="s">
        <v>15</v>
      </c>
      <c r="K114" s="6">
        <v>40.826999999999998</v>
      </c>
      <c r="L114" s="6">
        <v>14.138999999999999</v>
      </c>
      <c r="M114" s="5" t="s">
        <v>340</v>
      </c>
      <c r="N114" s="5" t="s">
        <v>340</v>
      </c>
      <c r="O114" s="4" t="s">
        <v>1016</v>
      </c>
      <c r="P114" s="5">
        <v>16</v>
      </c>
      <c r="Q114" s="5" t="s">
        <v>340</v>
      </c>
      <c r="R114" s="4" t="s">
        <v>184</v>
      </c>
      <c r="S114" s="4" t="s">
        <v>1127</v>
      </c>
      <c r="T114" s="7">
        <v>15101</v>
      </c>
      <c r="U114" s="7">
        <v>15388</v>
      </c>
      <c r="V114" s="7">
        <v>15683</v>
      </c>
      <c r="W114" s="15" t="s">
        <v>1091</v>
      </c>
      <c r="X114" s="15" t="s">
        <v>1364</v>
      </c>
      <c r="Y114" s="7">
        <v>12870</v>
      </c>
      <c r="Z114" s="7">
        <v>100</v>
      </c>
      <c r="AA114" s="7" t="s">
        <v>340</v>
      </c>
      <c r="AB114" s="7" t="s">
        <v>340</v>
      </c>
      <c r="AC114" s="7" t="s">
        <v>340</v>
      </c>
      <c r="AD114" s="7" t="s">
        <v>340</v>
      </c>
      <c r="AE114" s="7" t="s">
        <v>340</v>
      </c>
      <c r="AF114" s="7" t="s">
        <v>340</v>
      </c>
      <c r="AG114" s="7" t="s">
        <v>340</v>
      </c>
      <c r="AH114" s="5">
        <v>1</v>
      </c>
      <c r="AI114" s="5">
        <v>1</v>
      </c>
      <c r="AJ114" s="9">
        <f>IF(AND(ISNUMBER(F114),ISNUMBER(G114),ISNUMBER(K114),ISNUMBER(L114)),ACOS(MIN(1,COS(RADIANS(90-F114))*COS(RADIANS(90-K114))+SIN(RADIANS(90-F114))*SIN(RADIANS(90-K114))*COS(RADIANS(G114-L114))))*6371,"N/A")</f>
        <v>574.89693420333754</v>
      </c>
      <c r="AK114" s="10">
        <f>IF(AND(ISNUMBER(F114),ISNUMBER(G114),ISNUMBER(K114),ISNUMBER(L114)),MOD(DEGREES(ATAN2(COS(RADIANS(K114))*SIN(RADIANS(F114))-SIN(RADIANS(K114))*COS(RADIANS(F114))*COS(RADIANS(G114-L114)),SIN(RADIANS(G114-L114))*COS(RADIANS(F114))))+360,360),"N/A")</f>
        <v>86.244788652065267</v>
      </c>
      <c r="AL114" s="10" t="str">
        <f>IF(AND(ISNUMBER(F114),ISNUMBER(G114),ISNUMBER(M114),ISNUMBER(N114)),ACOS(MIN(1,COS(RADIANS(90-F114))*COS(RADIANS(90-M114))+SIN(RADIANS(90-F114))*SIN(RADIANS(90-M114))*COS(RADIANS(G114-N114))))*6371,"N/A")</f>
        <v>N/A</v>
      </c>
      <c r="AM114" s="10" t="str">
        <f>IF(AND(ISNUMBER(F114),ISNUMBER(G114),ISNUMBER(M114),ISNUMBER(N114)),MOD(DEGREES(ATAN2(COS(RADIANS(M114))*SIN(RADIANS(F114))-SIN(RADIANS(M114))*COS(RADIANS(F114))*COS(RADIANS(G114-N114)),SIN(RADIANS(G114-N114))*COS(RADIANS(F114))))+360,360),"N/A")</f>
        <v>N/A</v>
      </c>
      <c r="AN114" s="2"/>
      <c r="AO114" s="2"/>
    </row>
    <row r="115" spans="1:41" x14ac:dyDescent="0.2">
      <c r="A115" s="4" t="s">
        <v>613</v>
      </c>
      <c r="B115" s="4" t="s">
        <v>608</v>
      </c>
      <c r="C115" s="5" t="s">
        <v>340</v>
      </c>
      <c r="D115" s="4" t="s">
        <v>610</v>
      </c>
      <c r="E115" s="4" t="s">
        <v>609</v>
      </c>
      <c r="F115" s="6">
        <v>40.963889000000002</v>
      </c>
      <c r="G115" s="6">
        <v>20.978055999999999</v>
      </c>
      <c r="H115" s="7">
        <v>844</v>
      </c>
      <c r="I115" s="4" t="s">
        <v>611</v>
      </c>
      <c r="J115" s="4" t="s">
        <v>16</v>
      </c>
      <c r="K115" s="6">
        <v>40.820999999999998</v>
      </c>
      <c r="L115" s="6">
        <v>14.426</v>
      </c>
      <c r="M115" s="5" t="s">
        <v>340</v>
      </c>
      <c r="N115" s="5" t="s">
        <v>340</v>
      </c>
      <c r="O115" s="4" t="s">
        <v>229</v>
      </c>
      <c r="P115" s="5">
        <v>10</v>
      </c>
      <c r="Q115" s="5" t="s">
        <v>340</v>
      </c>
      <c r="R115" s="4" t="s">
        <v>41</v>
      </c>
      <c r="S115" s="4" t="s">
        <v>1121</v>
      </c>
      <c r="T115" s="12">
        <v>8723</v>
      </c>
      <c r="U115" s="7">
        <v>8866</v>
      </c>
      <c r="V115" s="12">
        <v>9009</v>
      </c>
      <c r="W115" s="15" t="s">
        <v>1091</v>
      </c>
      <c r="X115" s="21" t="s">
        <v>1360</v>
      </c>
      <c r="Y115" s="7">
        <v>8010</v>
      </c>
      <c r="Z115" s="7">
        <v>35</v>
      </c>
      <c r="AA115" s="7" t="s">
        <v>340</v>
      </c>
      <c r="AB115" s="7" t="s">
        <v>340</v>
      </c>
      <c r="AC115" s="7">
        <v>9680</v>
      </c>
      <c r="AD115" s="7">
        <v>480</v>
      </c>
      <c r="AE115" s="7" t="s">
        <v>340</v>
      </c>
      <c r="AF115" s="7" t="s">
        <v>340</v>
      </c>
      <c r="AG115" s="7" t="s">
        <v>340</v>
      </c>
      <c r="AH115" s="5">
        <v>1</v>
      </c>
      <c r="AI115" s="5">
        <v>1</v>
      </c>
      <c r="AJ115" s="9">
        <f>IF(AND(ISNUMBER(F115),ISNUMBER(G115),ISNUMBER(K115),ISNUMBER(L115)),ACOS(MIN(1,COS(RADIANS(90-F115))*COS(RADIANS(90-K115))+SIN(RADIANS(90-F115))*SIN(RADIANS(90-K115))*COS(RADIANS(G115-L115))))*6371,"N/A")</f>
        <v>550.84405124104899</v>
      </c>
      <c r="AK115" s="10">
        <f>IF(AND(ISNUMBER(F115),ISNUMBER(G115),ISNUMBER(K115),ISNUMBER(L115)),MOD(DEGREES(ATAN2(COS(RADIANS(K115))*SIN(RADIANS(F115))-SIN(RADIANS(K115))*COS(RADIANS(F115))*COS(RADIANS(G115-L115)),SIN(RADIANS(G115-L115))*COS(RADIANS(F115))))+360,360),"N/A")</f>
        <v>86.203360251899539</v>
      </c>
      <c r="AL115" s="10" t="str">
        <f>IF(AND(ISNUMBER(F115),ISNUMBER(G115),ISNUMBER(M115),ISNUMBER(N115)),ACOS(MIN(1,COS(RADIANS(90-F115))*COS(RADIANS(90-M115))+SIN(RADIANS(90-F115))*SIN(RADIANS(90-M115))*COS(RADIANS(G115-N115))))*6371,"N/A")</f>
        <v>N/A</v>
      </c>
      <c r="AM115" s="10" t="str">
        <f>IF(AND(ISNUMBER(F115),ISNUMBER(G115),ISNUMBER(M115),ISNUMBER(N115)),MOD(DEGREES(ATAN2(COS(RADIANS(M115))*SIN(RADIANS(F115))-SIN(RADIANS(M115))*COS(RADIANS(F115))*COS(RADIANS(G115-N115)),SIN(RADIANS(G115-N115))*COS(RADIANS(F115))))+360,360),"N/A")</f>
        <v>N/A</v>
      </c>
      <c r="AN115" s="2"/>
      <c r="AO115" s="2"/>
    </row>
    <row r="116" spans="1:41" x14ac:dyDescent="0.2">
      <c r="A116" s="4" t="s">
        <v>708</v>
      </c>
      <c r="B116" s="4" t="s">
        <v>705</v>
      </c>
      <c r="C116" s="5" t="s">
        <v>340</v>
      </c>
      <c r="D116" s="4" t="s">
        <v>32</v>
      </c>
      <c r="E116" s="4" t="s">
        <v>703</v>
      </c>
      <c r="F116" s="13">
        <v>39.548879999999997</v>
      </c>
      <c r="G116" s="13">
        <v>16.022220000000001</v>
      </c>
      <c r="H116" s="7">
        <v>1048</v>
      </c>
      <c r="I116" s="4" t="s">
        <v>704</v>
      </c>
      <c r="J116" s="4" t="s">
        <v>15</v>
      </c>
      <c r="K116" s="6">
        <v>40.826999999999998</v>
      </c>
      <c r="L116" s="6">
        <v>14.138999999999999</v>
      </c>
      <c r="M116" s="5" t="s">
        <v>340</v>
      </c>
      <c r="N116" s="5" t="s">
        <v>340</v>
      </c>
      <c r="O116" s="4" t="s">
        <v>440</v>
      </c>
      <c r="P116" s="5" t="s">
        <v>340</v>
      </c>
      <c r="Q116" s="5" t="s">
        <v>340</v>
      </c>
      <c r="R116" s="4" t="s">
        <v>41</v>
      </c>
      <c r="S116" s="4" t="s">
        <v>1121</v>
      </c>
      <c r="T116" s="7">
        <v>12116</v>
      </c>
      <c r="U116" s="7">
        <v>12388</v>
      </c>
      <c r="V116" s="7">
        <v>12482</v>
      </c>
      <c r="W116" s="15" t="s">
        <v>1335</v>
      </c>
      <c r="X116" s="15" t="s">
        <v>1361</v>
      </c>
      <c r="Y116" s="7">
        <v>10330</v>
      </c>
      <c r="Z116" s="7">
        <v>50</v>
      </c>
      <c r="AA116" s="7" t="s">
        <v>340</v>
      </c>
      <c r="AB116" s="7" t="s">
        <v>340</v>
      </c>
      <c r="AC116" s="7" t="s">
        <v>340</v>
      </c>
      <c r="AD116" s="7" t="s">
        <v>340</v>
      </c>
      <c r="AE116" s="7">
        <v>12357</v>
      </c>
      <c r="AF116" s="7">
        <v>100</v>
      </c>
      <c r="AG116" s="7" t="s">
        <v>340</v>
      </c>
      <c r="AH116" s="5">
        <v>1</v>
      </c>
      <c r="AI116" s="5">
        <v>1</v>
      </c>
      <c r="AJ116" s="9">
        <f>IF(AND(ISNUMBER(F116),ISNUMBER(G116),ISNUMBER(K116),ISNUMBER(L116)),ACOS(MIN(1,COS(RADIANS(90-F116))*COS(RADIANS(90-K116))+SIN(RADIANS(90-F116))*SIN(RADIANS(90-K116))*COS(RADIANS(G116-L116))))*6371,"N/A")</f>
        <v>213.97332295508062</v>
      </c>
      <c r="AK116" s="10">
        <f>IF(AND(ISNUMBER(F116),ISNUMBER(G116),ISNUMBER(K116),ISNUMBER(L116)),MOD(DEGREES(ATAN2(COS(RADIANS(K116))*SIN(RADIANS(F116))-SIN(RADIANS(K116))*COS(RADIANS(F116))*COS(RADIANS(G116-L116)),SIN(RADIANS(G116-L116))*COS(RADIANS(F116))))+360,360),"N/A")</f>
        <v>131.0075332804405</v>
      </c>
      <c r="AL116" s="10" t="str">
        <f>IF(AND(ISNUMBER(F116),ISNUMBER(G116),ISNUMBER(M116),ISNUMBER(N116)),ACOS(MIN(1,COS(RADIANS(90-F116))*COS(RADIANS(90-M116))+SIN(RADIANS(90-F116))*SIN(RADIANS(90-M116))*COS(RADIANS(G116-N116))))*6371,"N/A")</f>
        <v>N/A</v>
      </c>
      <c r="AM116" s="10" t="str">
        <f>IF(AND(ISNUMBER(F116),ISNUMBER(G116),ISNUMBER(M116),ISNUMBER(N116)),MOD(DEGREES(ATAN2(COS(RADIANS(M116))*SIN(RADIANS(F116))-SIN(RADIANS(M116))*COS(RADIANS(F116))*COS(RADIANS(G116-N116)),SIN(RADIANS(G116-N116))*COS(RADIANS(F116))))+360,360),"N/A")</f>
        <v>N/A</v>
      </c>
      <c r="AN116" s="2"/>
      <c r="AO116" s="2"/>
    </row>
    <row r="117" spans="1:41" x14ac:dyDescent="0.2">
      <c r="A117" s="4" t="s">
        <v>707</v>
      </c>
      <c r="B117" s="4" t="s">
        <v>705</v>
      </c>
      <c r="C117" s="5" t="s">
        <v>340</v>
      </c>
      <c r="D117" s="4" t="s">
        <v>32</v>
      </c>
      <c r="E117" s="4" t="s">
        <v>703</v>
      </c>
      <c r="F117" s="13">
        <v>39.548879999999997</v>
      </c>
      <c r="G117" s="13">
        <v>16.022220000000001</v>
      </c>
      <c r="H117" s="7">
        <v>1048</v>
      </c>
      <c r="I117" s="4" t="s">
        <v>704</v>
      </c>
      <c r="J117" s="4" t="s">
        <v>15</v>
      </c>
      <c r="K117" s="6">
        <v>40.826999999999998</v>
      </c>
      <c r="L117" s="6">
        <v>14.138999999999999</v>
      </c>
      <c r="M117" s="5" t="s">
        <v>340</v>
      </c>
      <c r="N117" s="5" t="s">
        <v>340</v>
      </c>
      <c r="O117" s="4" t="s">
        <v>709</v>
      </c>
      <c r="P117" s="5" t="s">
        <v>340</v>
      </c>
      <c r="Q117" s="5" t="s">
        <v>340</v>
      </c>
      <c r="R117" s="4" t="s">
        <v>41</v>
      </c>
      <c r="S117" s="4" t="s">
        <v>1121</v>
      </c>
      <c r="T117" s="7">
        <v>11209</v>
      </c>
      <c r="U117" s="7">
        <v>11611</v>
      </c>
      <c r="V117" s="7">
        <v>12009</v>
      </c>
      <c r="W117" s="15" t="s">
        <v>928</v>
      </c>
      <c r="X117" s="15" t="s">
        <v>1373</v>
      </c>
      <c r="Y117" s="7" t="s">
        <v>340</v>
      </c>
      <c r="Z117" s="7" t="s">
        <v>340</v>
      </c>
      <c r="AA117" s="7" t="s">
        <v>340</v>
      </c>
      <c r="AB117" s="7" t="s">
        <v>340</v>
      </c>
      <c r="AC117" s="7">
        <v>11980</v>
      </c>
      <c r="AD117" s="7">
        <v>600</v>
      </c>
      <c r="AE117" s="7">
        <v>11609</v>
      </c>
      <c r="AF117" s="7">
        <v>200</v>
      </c>
      <c r="AG117" s="7" t="s">
        <v>340</v>
      </c>
      <c r="AH117" s="5">
        <v>1</v>
      </c>
      <c r="AI117" s="5">
        <v>1</v>
      </c>
      <c r="AJ117" s="9">
        <f>IF(AND(ISNUMBER(F117),ISNUMBER(G117),ISNUMBER(K117),ISNUMBER(L117)),ACOS(MIN(1,COS(RADIANS(90-F117))*COS(RADIANS(90-K117))+SIN(RADIANS(90-F117))*SIN(RADIANS(90-K117))*COS(RADIANS(G117-L117))))*6371,"N/A")</f>
        <v>213.97332295508062</v>
      </c>
      <c r="AK117" s="10">
        <f>IF(AND(ISNUMBER(F117),ISNUMBER(G117),ISNUMBER(K117),ISNUMBER(L117)),MOD(DEGREES(ATAN2(COS(RADIANS(K117))*SIN(RADIANS(F117))-SIN(RADIANS(K117))*COS(RADIANS(F117))*COS(RADIANS(G117-L117)),SIN(RADIANS(G117-L117))*COS(RADIANS(F117))))+360,360),"N/A")</f>
        <v>131.0075332804405</v>
      </c>
      <c r="AL117" s="10" t="str">
        <f>IF(AND(ISNUMBER(F117),ISNUMBER(G117),ISNUMBER(M117),ISNUMBER(N117)),ACOS(MIN(1,COS(RADIANS(90-F117))*COS(RADIANS(90-M117))+SIN(RADIANS(90-F117))*SIN(RADIANS(90-M117))*COS(RADIANS(G117-N117))))*6371,"N/A")</f>
        <v>N/A</v>
      </c>
      <c r="AM117" s="10" t="str">
        <f>IF(AND(ISNUMBER(F117),ISNUMBER(G117),ISNUMBER(M117),ISNUMBER(N117)),MOD(DEGREES(ATAN2(COS(RADIANS(M117))*SIN(RADIANS(F117))-SIN(RADIANS(M117))*COS(RADIANS(F117))*COS(RADIANS(G117-N117)),SIN(RADIANS(G117-N117))*COS(RADIANS(F117))))+360,360),"N/A")</f>
        <v>N/A</v>
      </c>
      <c r="AN117" s="2"/>
      <c r="AO117" s="2"/>
    </row>
    <row r="118" spans="1:41" x14ac:dyDescent="0.2">
      <c r="A118" s="4" t="s">
        <v>706</v>
      </c>
      <c r="B118" s="4" t="s">
        <v>705</v>
      </c>
      <c r="C118" s="5" t="s">
        <v>340</v>
      </c>
      <c r="D118" s="4" t="s">
        <v>32</v>
      </c>
      <c r="E118" s="4" t="s">
        <v>703</v>
      </c>
      <c r="F118" s="13">
        <v>39.548879999999997</v>
      </c>
      <c r="G118" s="13">
        <v>16.022220000000001</v>
      </c>
      <c r="H118" s="7">
        <v>1048</v>
      </c>
      <c r="I118" s="4" t="s">
        <v>704</v>
      </c>
      <c r="J118" s="4" t="s">
        <v>53</v>
      </c>
      <c r="K118" s="6">
        <v>38.49</v>
      </c>
      <c r="L118" s="6">
        <v>14.933</v>
      </c>
      <c r="M118" s="5" t="s">
        <v>340</v>
      </c>
      <c r="N118" s="5" t="s">
        <v>340</v>
      </c>
      <c r="O118" s="4" t="s">
        <v>444</v>
      </c>
      <c r="P118" s="5" t="s">
        <v>340</v>
      </c>
      <c r="Q118" s="5" t="s">
        <v>340</v>
      </c>
      <c r="R118" s="4" t="s">
        <v>41</v>
      </c>
      <c r="S118" s="4" t="s">
        <v>1121</v>
      </c>
      <c r="T118" s="7">
        <v>7839</v>
      </c>
      <c r="U118" s="7">
        <v>8064</v>
      </c>
      <c r="V118" s="7">
        <v>8288</v>
      </c>
      <c r="W118" s="15" t="s">
        <v>1347</v>
      </c>
      <c r="X118" s="15" t="s">
        <v>1363</v>
      </c>
      <c r="Y118" s="7">
        <v>7770</v>
      </c>
      <c r="Z118" s="7">
        <v>70</v>
      </c>
      <c r="AA118" s="7" t="s">
        <v>340</v>
      </c>
      <c r="AB118" s="7" t="s">
        <v>340</v>
      </c>
      <c r="AC118" s="7" t="s">
        <v>340</v>
      </c>
      <c r="AD118" s="7" t="s">
        <v>340</v>
      </c>
      <c r="AE118" s="7" t="s">
        <v>340</v>
      </c>
      <c r="AF118" s="7" t="s">
        <v>340</v>
      </c>
      <c r="AG118" s="7" t="s">
        <v>340</v>
      </c>
      <c r="AH118" s="5">
        <v>1</v>
      </c>
      <c r="AI118" s="5">
        <v>1</v>
      </c>
      <c r="AJ118" s="9">
        <f>IF(AND(ISNUMBER(F118),ISNUMBER(G118),ISNUMBER(K118),ISNUMBER(L118)),ACOS(MIN(1,COS(RADIANS(90-F118))*COS(RADIANS(90-K118))+SIN(RADIANS(90-F118))*SIN(RADIANS(90-K118))*COS(RADIANS(G118-L118))))*6371,"N/A")</f>
        <v>150.72132238023408</v>
      </c>
      <c r="AK118" s="10">
        <f>IF(AND(ISNUMBER(F118),ISNUMBER(G118),ISNUMBER(K118),ISNUMBER(L118)),MOD(DEGREES(ATAN2(COS(RADIANS(K118))*SIN(RADIANS(F118))-SIN(RADIANS(K118))*COS(RADIANS(F118))*COS(RADIANS(G118-L118)),SIN(RADIANS(G118-L118))*COS(RADIANS(F118))))+360,360),"N/A")</f>
        <v>38.289971029975732</v>
      </c>
      <c r="AL118" s="10" t="str">
        <f>IF(AND(ISNUMBER(F118),ISNUMBER(G118),ISNUMBER(M118),ISNUMBER(N118)),ACOS(MIN(1,COS(RADIANS(90-F118))*COS(RADIANS(90-M118))+SIN(RADIANS(90-F118))*SIN(RADIANS(90-M118))*COS(RADIANS(G118-N118))))*6371,"N/A")</f>
        <v>N/A</v>
      </c>
      <c r="AM118" s="10" t="str">
        <f>IF(AND(ISNUMBER(F118),ISNUMBER(G118),ISNUMBER(M118),ISNUMBER(N118)),MOD(DEGREES(ATAN2(COS(RADIANS(M118))*SIN(RADIANS(F118))-SIN(RADIANS(M118))*COS(RADIANS(F118))*COS(RADIANS(G118-N118)),SIN(RADIANS(G118-N118))*COS(RADIANS(F118))))+360,360),"N/A")</f>
        <v>N/A</v>
      </c>
      <c r="AN118" s="2"/>
      <c r="AO118" s="2"/>
    </row>
    <row r="119" spans="1:41" x14ac:dyDescent="0.2">
      <c r="A119" s="4" t="s">
        <v>974</v>
      </c>
      <c r="B119" s="4" t="s">
        <v>975</v>
      </c>
      <c r="C119" s="5" t="s">
        <v>340</v>
      </c>
      <c r="D119" s="4" t="s">
        <v>32</v>
      </c>
      <c r="E119" s="4" t="s">
        <v>696</v>
      </c>
      <c r="F119" s="6">
        <v>41.983333333300003</v>
      </c>
      <c r="G119" s="6">
        <v>13.65</v>
      </c>
      <c r="H119" s="12">
        <v>750</v>
      </c>
      <c r="I119" s="4" t="s">
        <v>1510</v>
      </c>
      <c r="J119" s="4" t="s">
        <v>42</v>
      </c>
      <c r="K119" s="6">
        <v>37.747999999999998</v>
      </c>
      <c r="L119" s="6">
        <v>14.999000000000001</v>
      </c>
      <c r="M119" s="5" t="s">
        <v>340</v>
      </c>
      <c r="N119" s="5" t="s">
        <v>340</v>
      </c>
      <c r="O119" s="4" t="s">
        <v>977</v>
      </c>
      <c r="P119" s="5">
        <v>30</v>
      </c>
      <c r="Q119" s="5" t="s">
        <v>340</v>
      </c>
      <c r="R119" s="4" t="s">
        <v>41</v>
      </c>
      <c r="S119" s="4" t="s">
        <v>1121</v>
      </c>
      <c r="T119" s="7">
        <v>16111</v>
      </c>
      <c r="U119" s="7">
        <v>16277</v>
      </c>
      <c r="V119" s="7">
        <v>16435</v>
      </c>
      <c r="W119" s="15" t="s">
        <v>1104</v>
      </c>
      <c r="X119" s="15" t="s">
        <v>1374</v>
      </c>
      <c r="Y119" s="7" t="s">
        <v>976</v>
      </c>
      <c r="Z119" s="7">
        <v>40</v>
      </c>
      <c r="AA119" s="7" t="s">
        <v>340</v>
      </c>
      <c r="AB119" s="7" t="s">
        <v>340</v>
      </c>
      <c r="AC119" s="7" t="s">
        <v>340</v>
      </c>
      <c r="AD119" s="7" t="s">
        <v>340</v>
      </c>
      <c r="AE119" s="7" t="s">
        <v>340</v>
      </c>
      <c r="AF119" s="7" t="s">
        <v>340</v>
      </c>
      <c r="AG119" s="7" t="s">
        <v>340</v>
      </c>
      <c r="AH119" s="5">
        <v>1</v>
      </c>
      <c r="AI119" s="5">
        <v>1</v>
      </c>
      <c r="AJ119" s="9">
        <f>IF(AND(ISNUMBER(F119),ISNUMBER(G119),ISNUMBER(K119),ISNUMBER(L119)),ACOS(MIN(1,COS(RADIANS(90-F119))*COS(RADIANS(90-K119))+SIN(RADIANS(90-F119))*SIN(RADIANS(90-K119))*COS(RADIANS(G119-L119))))*6371,"N/A")</f>
        <v>484.79739760359308</v>
      </c>
      <c r="AK119" s="10">
        <f>IF(AND(ISNUMBER(F119),ISNUMBER(G119),ISNUMBER(K119),ISNUMBER(L119)),MOD(DEGREES(ATAN2(COS(RADIANS(K119))*SIN(RADIANS(F119))-SIN(RADIANS(K119))*COS(RADIANS(F119))*COS(RADIANS(G119-L119)),SIN(RADIANS(G119-L119))*COS(RADIANS(F119))))+360,360),"N/A")</f>
        <v>346.69122888761984</v>
      </c>
      <c r="AL119" s="10" t="str">
        <f>IF(AND(ISNUMBER(F119),ISNUMBER(G119),ISNUMBER(M119),ISNUMBER(N119)),ACOS(MIN(1,COS(RADIANS(90-F119))*COS(RADIANS(90-M119))+SIN(RADIANS(90-F119))*SIN(RADIANS(90-M119))*COS(RADIANS(G119-N119))))*6371,"N/A")</f>
        <v>N/A</v>
      </c>
      <c r="AM119" s="10" t="str">
        <f>IF(AND(ISNUMBER(F119),ISNUMBER(G119),ISNUMBER(M119),ISNUMBER(N119)),MOD(DEGREES(ATAN2(COS(RADIANS(M119))*SIN(RADIANS(F119))-SIN(RADIANS(M119))*COS(RADIANS(F119))*COS(RADIANS(G119-N119)),SIN(RADIANS(G119-N119))*COS(RADIANS(F119))))+360,360),"N/A")</f>
        <v>N/A</v>
      </c>
      <c r="AN119" s="2"/>
      <c r="AO119" s="2"/>
    </row>
    <row r="120" spans="1:41" x14ac:dyDescent="0.2">
      <c r="A120" s="4" t="s">
        <v>778</v>
      </c>
      <c r="B120" s="4" t="s">
        <v>775</v>
      </c>
      <c r="C120" s="5" t="s">
        <v>340</v>
      </c>
      <c r="D120" s="4" t="s">
        <v>70</v>
      </c>
      <c r="E120" s="4" t="s">
        <v>101</v>
      </c>
      <c r="F120" s="6">
        <v>39.7742</v>
      </c>
      <c r="G120" s="6">
        <v>17.049299999999999</v>
      </c>
      <c r="H120" s="7">
        <v>-907.5</v>
      </c>
      <c r="I120" s="4" t="s">
        <v>1333</v>
      </c>
      <c r="J120" s="4" t="s">
        <v>53</v>
      </c>
      <c r="K120" s="6">
        <v>38.49</v>
      </c>
      <c r="L120" s="6">
        <v>14.933</v>
      </c>
      <c r="M120" s="5" t="s">
        <v>340</v>
      </c>
      <c r="N120" s="5" t="s">
        <v>340</v>
      </c>
      <c r="O120" s="4" t="s">
        <v>784</v>
      </c>
      <c r="P120" s="5">
        <v>5</v>
      </c>
      <c r="Q120" s="5" t="s">
        <v>340</v>
      </c>
      <c r="R120" s="4" t="s">
        <v>184</v>
      </c>
      <c r="S120" s="4" t="s">
        <v>1121</v>
      </c>
      <c r="T120" s="7">
        <v>1513</v>
      </c>
      <c r="U120" s="7">
        <v>1513</v>
      </c>
      <c r="V120" s="7">
        <v>1513</v>
      </c>
      <c r="W120" s="15" t="s">
        <v>898</v>
      </c>
      <c r="X120" s="15" t="s">
        <v>1333</v>
      </c>
      <c r="Y120" s="7" t="s">
        <v>340</v>
      </c>
      <c r="Z120" s="7" t="s">
        <v>340</v>
      </c>
      <c r="AA120" s="7" t="s">
        <v>340</v>
      </c>
      <c r="AB120" s="7" t="s">
        <v>340</v>
      </c>
      <c r="AC120" s="7" t="s">
        <v>340</v>
      </c>
      <c r="AD120" s="7" t="s">
        <v>340</v>
      </c>
      <c r="AE120" s="7" t="s">
        <v>340</v>
      </c>
      <c r="AF120" s="7" t="s">
        <v>340</v>
      </c>
      <c r="AG120" s="7" t="s">
        <v>784</v>
      </c>
      <c r="AH120" s="5">
        <v>1</v>
      </c>
      <c r="AI120" s="5">
        <v>1</v>
      </c>
      <c r="AJ120" s="9">
        <f>IF(AND(ISNUMBER(F120),ISNUMBER(G120),ISNUMBER(K120),ISNUMBER(L120)),ACOS(MIN(1,COS(RADIANS(90-F120))*COS(RADIANS(90-K120))+SIN(RADIANS(90-F120))*SIN(RADIANS(90-K120))*COS(RADIANS(G120-L120))))*6371,"N/A")</f>
        <v>231.74361835190354</v>
      </c>
      <c r="AK120" s="10">
        <f>IF(AND(ISNUMBER(F120),ISNUMBER(G120),ISNUMBER(K120),ISNUMBER(L120)),MOD(DEGREES(ATAN2(COS(RADIANS(K120))*SIN(RADIANS(F120))-SIN(RADIANS(K120))*COS(RADIANS(F120))*COS(RADIANS(G120-L120)),SIN(RADIANS(G120-L120))*COS(RADIANS(F120))))+360,360),"N/A")</f>
        <v>51.300269771925912</v>
      </c>
      <c r="AL120" s="10" t="str">
        <f>IF(AND(ISNUMBER(F120),ISNUMBER(G120),ISNUMBER(M120),ISNUMBER(N120)),ACOS(MIN(1,COS(RADIANS(90-F120))*COS(RADIANS(90-M120))+SIN(RADIANS(90-F120))*SIN(RADIANS(90-M120))*COS(RADIANS(G120-N120))))*6371,"N/A")</f>
        <v>N/A</v>
      </c>
      <c r="AM120" s="10" t="str">
        <f>IF(AND(ISNUMBER(F120),ISNUMBER(G120),ISNUMBER(M120),ISNUMBER(N120)),MOD(DEGREES(ATAN2(COS(RADIANS(M120))*SIN(RADIANS(F120))-SIN(RADIANS(M120))*COS(RADIANS(F120))*COS(RADIANS(G120-N120)),SIN(RADIANS(G120-N120))*COS(RADIANS(F120))))+360,360),"N/A")</f>
        <v>N/A</v>
      </c>
      <c r="AN120" s="2"/>
      <c r="AO120" s="2"/>
    </row>
    <row r="121" spans="1:41" x14ac:dyDescent="0.2">
      <c r="A121" s="4" t="s">
        <v>776</v>
      </c>
      <c r="B121" s="4" t="s">
        <v>775</v>
      </c>
      <c r="C121" s="5" t="s">
        <v>340</v>
      </c>
      <c r="D121" s="4" t="s">
        <v>70</v>
      </c>
      <c r="E121" s="4" t="s">
        <v>101</v>
      </c>
      <c r="F121" s="6">
        <v>39.7742</v>
      </c>
      <c r="G121" s="6">
        <v>17.049299999999999</v>
      </c>
      <c r="H121" s="7">
        <v>-907.5</v>
      </c>
      <c r="I121" s="4" t="s">
        <v>1333</v>
      </c>
      <c r="J121" s="4" t="s">
        <v>16</v>
      </c>
      <c r="K121" s="6">
        <v>40.820999999999998</v>
      </c>
      <c r="L121" s="6">
        <v>14.426</v>
      </c>
      <c r="M121" s="5" t="s">
        <v>340</v>
      </c>
      <c r="N121" s="5" t="s">
        <v>340</v>
      </c>
      <c r="O121" s="4" t="s">
        <v>783</v>
      </c>
      <c r="P121" s="5">
        <v>13</v>
      </c>
      <c r="Q121" s="5" t="s">
        <v>340</v>
      </c>
      <c r="R121" s="4" t="s">
        <v>184</v>
      </c>
      <c r="S121" s="4" t="s">
        <v>1121</v>
      </c>
      <c r="T121" s="7">
        <v>160</v>
      </c>
      <c r="U121" s="7">
        <v>160</v>
      </c>
      <c r="V121" s="7">
        <v>160</v>
      </c>
      <c r="W121" s="15" t="s">
        <v>898</v>
      </c>
      <c r="X121" s="15" t="s">
        <v>1333</v>
      </c>
      <c r="Y121" s="7" t="s">
        <v>340</v>
      </c>
      <c r="Z121" s="7" t="s">
        <v>340</v>
      </c>
      <c r="AA121" s="7" t="s">
        <v>340</v>
      </c>
      <c r="AB121" s="7" t="s">
        <v>340</v>
      </c>
      <c r="AC121" s="7" t="s">
        <v>340</v>
      </c>
      <c r="AD121" s="7" t="s">
        <v>340</v>
      </c>
      <c r="AE121" s="7" t="s">
        <v>340</v>
      </c>
      <c r="AF121" s="7" t="s">
        <v>340</v>
      </c>
      <c r="AG121" s="7" t="s">
        <v>783</v>
      </c>
      <c r="AH121" s="5">
        <v>1</v>
      </c>
      <c r="AI121" s="5">
        <v>1</v>
      </c>
      <c r="AJ121" s="9">
        <f>IF(AND(ISNUMBER(F121),ISNUMBER(G121),ISNUMBER(K121),ISNUMBER(L121)),ACOS(MIN(1,COS(RADIANS(90-F121))*COS(RADIANS(90-K121))+SIN(RADIANS(90-F121))*SIN(RADIANS(90-K121))*COS(RADIANS(G121-L121))))*6371,"N/A")</f>
        <v>251.07071628569156</v>
      </c>
      <c r="AK121" s="10">
        <f>IF(AND(ISNUMBER(F121),ISNUMBER(G121),ISNUMBER(K121),ISNUMBER(L121)),MOD(DEGREES(ATAN2(COS(RADIANS(K121))*SIN(RADIANS(F121))-SIN(RADIANS(K121))*COS(RADIANS(F121))*COS(RADIANS(G121-L121)),SIN(RADIANS(G121-L121))*COS(RADIANS(F121))))+360,360),"N/A")</f>
        <v>116.7655149252634</v>
      </c>
      <c r="AL121" s="10" t="str">
        <f>IF(AND(ISNUMBER(F121),ISNUMBER(G121),ISNUMBER(M121),ISNUMBER(N121)),ACOS(MIN(1,COS(RADIANS(90-F121))*COS(RADIANS(90-M121))+SIN(RADIANS(90-F121))*SIN(RADIANS(90-M121))*COS(RADIANS(G121-N121))))*6371,"N/A")</f>
        <v>N/A</v>
      </c>
      <c r="AM121" s="10" t="str">
        <f>IF(AND(ISNUMBER(F121),ISNUMBER(G121),ISNUMBER(M121),ISNUMBER(N121)),MOD(DEGREES(ATAN2(COS(RADIANS(M121))*SIN(RADIANS(F121))-SIN(RADIANS(M121))*COS(RADIANS(F121))*COS(RADIANS(G121-N121)),SIN(RADIANS(G121-N121))*COS(RADIANS(F121))))+360,360),"N/A")</f>
        <v>N/A</v>
      </c>
      <c r="AN121" s="2"/>
      <c r="AO121" s="2"/>
    </row>
    <row r="122" spans="1:41" x14ac:dyDescent="0.2">
      <c r="A122" s="4" t="s">
        <v>779</v>
      </c>
      <c r="B122" s="4" t="s">
        <v>775</v>
      </c>
      <c r="C122" s="5" t="s">
        <v>340</v>
      </c>
      <c r="D122" s="4" t="s">
        <v>70</v>
      </c>
      <c r="E122" s="4" t="s">
        <v>101</v>
      </c>
      <c r="F122" s="6">
        <v>39.7742</v>
      </c>
      <c r="G122" s="6">
        <v>17.049299999999999</v>
      </c>
      <c r="H122" s="7">
        <v>-907.5</v>
      </c>
      <c r="I122" s="4" t="s">
        <v>1333</v>
      </c>
      <c r="J122" s="4" t="s">
        <v>16</v>
      </c>
      <c r="K122" s="6">
        <v>40.820999999999998</v>
      </c>
      <c r="L122" s="6">
        <v>14.426</v>
      </c>
      <c r="M122" s="5" t="s">
        <v>340</v>
      </c>
      <c r="N122" s="5" t="s">
        <v>340</v>
      </c>
      <c r="O122" s="4" t="s">
        <v>879</v>
      </c>
      <c r="P122" s="5">
        <v>12</v>
      </c>
      <c r="Q122" s="5" t="s">
        <v>340</v>
      </c>
      <c r="R122" s="4" t="s">
        <v>184</v>
      </c>
      <c r="S122" s="4" t="s">
        <v>1121</v>
      </c>
      <c r="T122" s="7">
        <v>1871</v>
      </c>
      <c r="U122" s="7">
        <v>1871</v>
      </c>
      <c r="V122" s="7">
        <v>1871</v>
      </c>
      <c r="W122" s="15" t="s">
        <v>898</v>
      </c>
      <c r="X122" s="15" t="s">
        <v>332</v>
      </c>
      <c r="Y122" s="7" t="s">
        <v>340</v>
      </c>
      <c r="Z122" s="7" t="s">
        <v>340</v>
      </c>
      <c r="AA122" s="7" t="s">
        <v>340</v>
      </c>
      <c r="AB122" s="7" t="s">
        <v>340</v>
      </c>
      <c r="AC122" s="7" t="s">
        <v>340</v>
      </c>
      <c r="AD122" s="7" t="s">
        <v>340</v>
      </c>
      <c r="AE122" s="7" t="s">
        <v>340</v>
      </c>
      <c r="AF122" s="7" t="s">
        <v>340</v>
      </c>
      <c r="AG122" s="7" t="s">
        <v>905</v>
      </c>
      <c r="AH122" s="5">
        <v>1</v>
      </c>
      <c r="AI122" s="5">
        <v>1</v>
      </c>
      <c r="AJ122" s="9">
        <f>IF(AND(ISNUMBER(F122),ISNUMBER(G122),ISNUMBER(K122),ISNUMBER(L122)),ACOS(MIN(1,COS(RADIANS(90-F122))*COS(RADIANS(90-K122))+SIN(RADIANS(90-F122))*SIN(RADIANS(90-K122))*COS(RADIANS(G122-L122))))*6371,"N/A")</f>
        <v>251.07071628569156</v>
      </c>
      <c r="AK122" s="10">
        <f>IF(AND(ISNUMBER(F122),ISNUMBER(G122),ISNUMBER(K122),ISNUMBER(L122)),MOD(DEGREES(ATAN2(COS(RADIANS(K122))*SIN(RADIANS(F122))-SIN(RADIANS(K122))*COS(RADIANS(F122))*COS(RADIANS(G122-L122)),SIN(RADIANS(G122-L122))*COS(RADIANS(F122))))+360,360),"N/A")</f>
        <v>116.7655149252634</v>
      </c>
      <c r="AL122" s="10" t="str">
        <f>IF(AND(ISNUMBER(F122),ISNUMBER(G122),ISNUMBER(M122),ISNUMBER(N122)),ACOS(MIN(1,COS(RADIANS(90-F122))*COS(RADIANS(90-M122))+SIN(RADIANS(90-F122))*SIN(RADIANS(90-M122))*COS(RADIANS(G122-N122))))*6371,"N/A")</f>
        <v>N/A</v>
      </c>
      <c r="AM122" s="10" t="str">
        <f>IF(AND(ISNUMBER(F122),ISNUMBER(G122),ISNUMBER(M122),ISNUMBER(N122)),MOD(DEGREES(ATAN2(COS(RADIANS(M122))*SIN(RADIANS(F122))-SIN(RADIANS(M122))*COS(RADIANS(F122))*COS(RADIANS(G122-N122)),SIN(RADIANS(G122-N122))*COS(RADIANS(F122))))+360,360),"N/A")</f>
        <v>N/A</v>
      </c>
      <c r="AN122" s="2"/>
      <c r="AO122" s="2"/>
    </row>
    <row r="123" spans="1:41" x14ac:dyDescent="0.2">
      <c r="A123" s="4" t="s">
        <v>777</v>
      </c>
      <c r="B123" s="4" t="s">
        <v>775</v>
      </c>
      <c r="C123" s="5" t="s">
        <v>340</v>
      </c>
      <c r="D123" s="4" t="s">
        <v>70</v>
      </c>
      <c r="E123" s="4" t="s">
        <v>101</v>
      </c>
      <c r="F123" s="6">
        <v>39.7742</v>
      </c>
      <c r="G123" s="6">
        <v>17.049299999999999</v>
      </c>
      <c r="H123" s="7">
        <v>-907.5</v>
      </c>
      <c r="I123" s="4" t="s">
        <v>1333</v>
      </c>
      <c r="J123" s="4" t="s">
        <v>53</v>
      </c>
      <c r="K123" s="6">
        <v>38.49</v>
      </c>
      <c r="L123" s="6">
        <v>14.933</v>
      </c>
      <c r="M123" s="5" t="s">
        <v>340</v>
      </c>
      <c r="N123" s="5" t="s">
        <v>340</v>
      </c>
      <c r="O123" s="4" t="s">
        <v>785</v>
      </c>
      <c r="P123" s="5">
        <v>15</v>
      </c>
      <c r="Q123" s="5" t="s">
        <v>340</v>
      </c>
      <c r="R123" s="4" t="s">
        <v>184</v>
      </c>
      <c r="S123" s="4" t="s">
        <v>999</v>
      </c>
      <c r="T123" s="7">
        <v>634</v>
      </c>
      <c r="U123" s="7">
        <f>AVERAGE(V123,T123)</f>
        <v>665.5</v>
      </c>
      <c r="V123" s="7">
        <v>697</v>
      </c>
      <c r="W123" s="15" t="s">
        <v>1154</v>
      </c>
      <c r="X123" s="15" t="s">
        <v>1001</v>
      </c>
      <c r="Y123" s="7" t="s">
        <v>340</v>
      </c>
      <c r="Z123" s="7" t="s">
        <v>340</v>
      </c>
      <c r="AA123" s="7">
        <v>665.5</v>
      </c>
      <c r="AB123" s="3">
        <f>AA123-T123</f>
        <v>31.5</v>
      </c>
      <c r="AC123" s="7" t="s">
        <v>340</v>
      </c>
      <c r="AD123" s="7" t="s">
        <v>340</v>
      </c>
      <c r="AE123" s="7" t="s">
        <v>340</v>
      </c>
      <c r="AF123" s="7" t="s">
        <v>340</v>
      </c>
      <c r="AG123" s="7" t="s">
        <v>340</v>
      </c>
      <c r="AH123" s="5">
        <v>1</v>
      </c>
      <c r="AI123" s="5">
        <v>1</v>
      </c>
      <c r="AJ123" s="9">
        <f>IF(AND(ISNUMBER(F123),ISNUMBER(G123),ISNUMBER(K123),ISNUMBER(L123)),ACOS(MIN(1,COS(RADIANS(90-F123))*COS(RADIANS(90-K123))+SIN(RADIANS(90-F123))*SIN(RADIANS(90-K123))*COS(RADIANS(G123-L123))))*6371,"N/A")</f>
        <v>231.74361835190354</v>
      </c>
      <c r="AK123" s="10">
        <f>IF(AND(ISNUMBER(F123),ISNUMBER(G123),ISNUMBER(K123),ISNUMBER(L123)),MOD(DEGREES(ATAN2(COS(RADIANS(K123))*SIN(RADIANS(F123))-SIN(RADIANS(K123))*COS(RADIANS(F123))*COS(RADIANS(G123-L123)),SIN(RADIANS(G123-L123))*COS(RADIANS(F123))))+360,360),"N/A")</f>
        <v>51.300269771925912</v>
      </c>
      <c r="AL123" s="10" t="str">
        <f>IF(AND(ISNUMBER(F123),ISNUMBER(G123),ISNUMBER(M123),ISNUMBER(N123)),ACOS(MIN(1,COS(RADIANS(90-F123))*COS(RADIANS(90-M123))+SIN(RADIANS(90-F123))*SIN(RADIANS(90-M123))*COS(RADIANS(G123-N123))))*6371,"N/A")</f>
        <v>N/A</v>
      </c>
      <c r="AM123" s="10" t="str">
        <f>IF(AND(ISNUMBER(F123),ISNUMBER(G123),ISNUMBER(M123),ISNUMBER(N123)),MOD(DEGREES(ATAN2(COS(RADIANS(M123))*SIN(RADIANS(F123))-SIN(RADIANS(M123))*COS(RADIANS(F123))*COS(RADIANS(G123-N123)),SIN(RADIANS(G123-N123))*COS(RADIANS(F123))))+360,360),"N/A")</f>
        <v>N/A</v>
      </c>
      <c r="AN123" s="2"/>
      <c r="AO123" s="2"/>
    </row>
    <row r="124" spans="1:41" x14ac:dyDescent="0.2">
      <c r="A124" s="4" t="s">
        <v>782</v>
      </c>
      <c r="B124" s="4" t="s">
        <v>775</v>
      </c>
      <c r="C124" s="5" t="s">
        <v>340</v>
      </c>
      <c r="D124" s="4" t="s">
        <v>70</v>
      </c>
      <c r="E124" s="4" t="s">
        <v>101</v>
      </c>
      <c r="F124" s="6">
        <v>39.7742</v>
      </c>
      <c r="G124" s="6">
        <v>17.049299999999999</v>
      </c>
      <c r="H124" s="7">
        <v>-907.5</v>
      </c>
      <c r="I124" s="4" t="s">
        <v>1333</v>
      </c>
      <c r="J124" s="4" t="s">
        <v>786</v>
      </c>
      <c r="K124" s="6">
        <v>40.826999999999998</v>
      </c>
      <c r="L124" s="6">
        <v>14.138999999999999</v>
      </c>
      <c r="M124" s="5" t="s">
        <v>340</v>
      </c>
      <c r="N124" s="5" t="s">
        <v>340</v>
      </c>
      <c r="O124" s="4" t="s">
        <v>1072</v>
      </c>
      <c r="P124" s="5" t="s">
        <v>789</v>
      </c>
      <c r="Q124" s="5" t="s">
        <v>340</v>
      </c>
      <c r="R124" s="4" t="s">
        <v>184</v>
      </c>
      <c r="S124" s="4" t="s">
        <v>1121</v>
      </c>
      <c r="T124" s="7">
        <v>10900</v>
      </c>
      <c r="U124" s="7">
        <v>11400</v>
      </c>
      <c r="V124" s="7">
        <v>11900</v>
      </c>
      <c r="W124" s="15" t="s">
        <v>1105</v>
      </c>
      <c r="X124" s="15" t="s">
        <v>1333</v>
      </c>
      <c r="Y124" s="7" t="s">
        <v>340</v>
      </c>
      <c r="Z124" s="7" t="s">
        <v>340</v>
      </c>
      <c r="AA124" s="7" t="s">
        <v>340</v>
      </c>
      <c r="AB124" s="7" t="s">
        <v>340</v>
      </c>
      <c r="AC124" s="7">
        <v>11210</v>
      </c>
      <c r="AD124" s="7">
        <v>560</v>
      </c>
      <c r="AE124" s="7">
        <v>11400</v>
      </c>
      <c r="AF124" s="7">
        <v>500</v>
      </c>
      <c r="AG124" s="7" t="s">
        <v>340</v>
      </c>
      <c r="AH124" s="5">
        <v>1</v>
      </c>
      <c r="AI124" s="5">
        <v>2</v>
      </c>
      <c r="AJ124" s="9">
        <f>IF(AND(ISNUMBER(F124),ISNUMBER(G124),ISNUMBER(K124),ISNUMBER(L124)),ACOS(MIN(1,COS(RADIANS(90-F124))*COS(RADIANS(90-K124))+SIN(RADIANS(90-F124))*SIN(RADIANS(90-K124))*COS(RADIANS(G124-L124))))*6371,"N/A")</f>
        <v>273.1418074282202</v>
      </c>
      <c r="AK124" s="10">
        <f>IF(AND(ISNUMBER(F124),ISNUMBER(G124),ISNUMBER(K124),ISNUMBER(L124)),MOD(DEGREES(ATAN2(COS(RADIANS(K124))*SIN(RADIANS(F124))-SIN(RADIANS(K124))*COS(RADIANS(F124))*COS(RADIANS(G124-L124)),SIN(RADIANS(G124-L124))*COS(RADIANS(F124))))+360,360),"N/A")</f>
        <v>114.42973973306675</v>
      </c>
      <c r="AL124" s="10" t="str">
        <f>IF(AND(ISNUMBER(F124),ISNUMBER(G124),ISNUMBER(M124),ISNUMBER(N124)),ACOS(MIN(1,COS(RADIANS(90-F124))*COS(RADIANS(90-M124))+SIN(RADIANS(90-F124))*SIN(RADIANS(90-M124))*COS(RADIANS(G124-N124))))*6371,"N/A")</f>
        <v>N/A</v>
      </c>
      <c r="AM124" s="10" t="str">
        <f>IF(AND(ISNUMBER(F124),ISNUMBER(G124),ISNUMBER(M124),ISNUMBER(N124)),MOD(DEGREES(ATAN2(COS(RADIANS(M124))*SIN(RADIANS(F124))-SIN(RADIANS(M124))*COS(RADIANS(F124))*COS(RADIANS(G124-N124)),SIN(RADIANS(G124-N124))*COS(RADIANS(F124))))+360,360),"N/A")</f>
        <v>N/A</v>
      </c>
      <c r="AN124" s="2"/>
      <c r="AO124" s="2"/>
    </row>
    <row r="125" spans="1:41" x14ac:dyDescent="0.2">
      <c r="A125" s="4" t="s">
        <v>1002</v>
      </c>
      <c r="B125" s="4" t="s">
        <v>775</v>
      </c>
      <c r="C125" s="5" t="s">
        <v>340</v>
      </c>
      <c r="D125" s="4" t="s">
        <v>70</v>
      </c>
      <c r="E125" s="4" t="s">
        <v>101</v>
      </c>
      <c r="F125" s="6">
        <v>39.7742</v>
      </c>
      <c r="G125" s="6">
        <v>17.049299999999999</v>
      </c>
      <c r="H125" s="7">
        <v>-907.5</v>
      </c>
      <c r="I125" s="4" t="s">
        <v>1333</v>
      </c>
      <c r="J125" s="4" t="s">
        <v>1060</v>
      </c>
      <c r="K125" s="6">
        <v>38.49</v>
      </c>
      <c r="L125" s="6">
        <v>14.933</v>
      </c>
      <c r="M125" s="5">
        <v>37.747999999999998</v>
      </c>
      <c r="N125" s="5">
        <v>14.999000000000001</v>
      </c>
      <c r="O125" s="4" t="s">
        <v>1071</v>
      </c>
      <c r="P125" s="5" t="s">
        <v>1003</v>
      </c>
      <c r="Q125" s="5" t="s">
        <v>340</v>
      </c>
      <c r="R125" s="4" t="s">
        <v>184</v>
      </c>
      <c r="S125" s="4" t="s">
        <v>1121</v>
      </c>
      <c r="T125" s="7">
        <v>810</v>
      </c>
      <c r="U125" s="7">
        <v>1310</v>
      </c>
      <c r="V125" s="7">
        <v>1810</v>
      </c>
      <c r="W125" s="15" t="s">
        <v>1342</v>
      </c>
      <c r="X125" s="15" t="s">
        <v>1333</v>
      </c>
      <c r="Y125" s="7" t="s">
        <v>340</v>
      </c>
      <c r="Z125" s="7" t="s">
        <v>340</v>
      </c>
      <c r="AA125" s="7" t="s">
        <v>340</v>
      </c>
      <c r="AB125" s="7" t="s">
        <v>340</v>
      </c>
      <c r="AC125" s="7" t="s">
        <v>340</v>
      </c>
      <c r="AD125" s="7" t="s">
        <v>340</v>
      </c>
      <c r="AE125" s="7" t="s">
        <v>340</v>
      </c>
      <c r="AF125" s="7" t="s">
        <v>340</v>
      </c>
      <c r="AG125" s="7" t="s">
        <v>1004</v>
      </c>
      <c r="AH125" s="5">
        <v>1</v>
      </c>
      <c r="AI125" s="5">
        <v>2</v>
      </c>
      <c r="AJ125" s="9">
        <f>IF(AND(ISNUMBER(F125),ISNUMBER(G125),ISNUMBER(K125),ISNUMBER(L125)),ACOS(MIN(1,COS(RADIANS(90-F125))*COS(RADIANS(90-K125))+SIN(RADIANS(90-F125))*SIN(RADIANS(90-K125))*COS(RADIANS(G125-L125))))*6371,"N/A")</f>
        <v>231.74361835190354</v>
      </c>
      <c r="AK125" s="10">
        <f>IF(AND(ISNUMBER(F125),ISNUMBER(G125),ISNUMBER(K125),ISNUMBER(L125)),MOD(DEGREES(ATAN2(COS(RADIANS(K125))*SIN(RADIANS(F125))-SIN(RADIANS(K125))*COS(RADIANS(F125))*COS(RADIANS(G125-L125)),SIN(RADIANS(G125-L125))*COS(RADIANS(F125))))+360,360),"N/A")</f>
        <v>51.300269771925912</v>
      </c>
      <c r="AL125" s="10">
        <f>IF(AND(ISNUMBER(F125),ISNUMBER(G125),ISNUMBER(M125),ISNUMBER(N125)),ACOS(MIN(1,COS(RADIANS(90-F125))*COS(RADIANS(90-M125))+SIN(RADIANS(90-F125))*SIN(RADIANS(90-M125))*COS(RADIANS(G125-N125))))*6371,"N/A")</f>
        <v>286.97328969679575</v>
      </c>
      <c r="AM125" s="10">
        <f>IF(AND(ISNUMBER(F125),ISNUMBER(G125),ISNUMBER(M125),ISNUMBER(N125)),MOD(DEGREES(ATAN2(COS(RADIANS(M125))*SIN(RADIANS(F125))-SIN(RADIANS(M125))*COS(RADIANS(F125))*COS(RADIANS(G125-N125)),SIN(RADIANS(G125-N125))*COS(RADIANS(F125))))+360,360),"N/A")</f>
        <v>37.63723974959214</v>
      </c>
      <c r="AN125" s="2"/>
      <c r="AO125" s="2"/>
    </row>
    <row r="126" spans="1:41" x14ac:dyDescent="0.2">
      <c r="A126" s="4" t="s">
        <v>781</v>
      </c>
      <c r="B126" s="4" t="s">
        <v>775</v>
      </c>
      <c r="C126" s="5" t="s">
        <v>340</v>
      </c>
      <c r="D126" s="4" t="s">
        <v>70</v>
      </c>
      <c r="E126" s="4" t="s">
        <v>101</v>
      </c>
      <c r="F126" s="6">
        <v>39.7742</v>
      </c>
      <c r="G126" s="6">
        <v>17.049299999999999</v>
      </c>
      <c r="H126" s="7">
        <v>-907.5</v>
      </c>
      <c r="I126" s="4" t="s">
        <v>1333</v>
      </c>
      <c r="J126" s="4" t="s">
        <v>1061</v>
      </c>
      <c r="K126" s="6">
        <v>40.820999999999998</v>
      </c>
      <c r="L126" s="6">
        <v>14.426</v>
      </c>
      <c r="M126" s="5">
        <v>37.747999999999998</v>
      </c>
      <c r="N126" s="5">
        <v>14.999000000000001</v>
      </c>
      <c r="O126" s="4" t="s">
        <v>1073</v>
      </c>
      <c r="P126" s="5" t="s">
        <v>788</v>
      </c>
      <c r="Q126" s="5" t="s">
        <v>340</v>
      </c>
      <c r="R126" s="4" t="s">
        <v>184</v>
      </c>
      <c r="S126" s="4" t="s">
        <v>1121</v>
      </c>
      <c r="T126" s="7">
        <v>3300</v>
      </c>
      <c r="U126" s="7">
        <v>3370</v>
      </c>
      <c r="V126" s="7">
        <v>3440</v>
      </c>
      <c r="W126" s="15" t="s">
        <v>1334</v>
      </c>
      <c r="X126" s="15" t="s">
        <v>1333</v>
      </c>
      <c r="Y126" s="7" t="s">
        <v>340</v>
      </c>
      <c r="Z126" s="7" t="s">
        <v>340</v>
      </c>
      <c r="AA126" s="7" t="s">
        <v>340</v>
      </c>
      <c r="AB126" s="7" t="s">
        <v>340</v>
      </c>
      <c r="AC126" s="7" t="s">
        <v>340</v>
      </c>
      <c r="AD126" s="7" t="s">
        <v>340</v>
      </c>
      <c r="AE126" s="7">
        <v>3370</v>
      </c>
      <c r="AF126" s="7">
        <v>70</v>
      </c>
      <c r="AG126" s="7" t="s">
        <v>340</v>
      </c>
      <c r="AH126" s="5">
        <v>1</v>
      </c>
      <c r="AI126" s="5">
        <v>2</v>
      </c>
      <c r="AJ126" s="9">
        <f>IF(AND(ISNUMBER(F126),ISNUMBER(G126),ISNUMBER(K126),ISNUMBER(L126)),ACOS(MIN(1,COS(RADIANS(90-F126))*COS(RADIANS(90-K126))+SIN(RADIANS(90-F126))*SIN(RADIANS(90-K126))*COS(RADIANS(G126-L126))))*6371,"N/A")</f>
        <v>251.07071628569156</v>
      </c>
      <c r="AK126" s="10">
        <f>IF(AND(ISNUMBER(F126),ISNUMBER(G126),ISNUMBER(K126),ISNUMBER(L126)),MOD(DEGREES(ATAN2(COS(RADIANS(K126))*SIN(RADIANS(F126))-SIN(RADIANS(K126))*COS(RADIANS(F126))*COS(RADIANS(G126-L126)),SIN(RADIANS(G126-L126))*COS(RADIANS(F126))))+360,360),"N/A")</f>
        <v>116.7655149252634</v>
      </c>
      <c r="AL126" s="10">
        <f>IF(AND(ISNUMBER(F126),ISNUMBER(G126),ISNUMBER(M126),ISNUMBER(N126)),ACOS(MIN(1,COS(RADIANS(90-F126))*COS(RADIANS(90-M126))+SIN(RADIANS(90-F126))*SIN(RADIANS(90-M126))*COS(RADIANS(G126-N126))))*6371,"N/A")</f>
        <v>286.97328969679575</v>
      </c>
      <c r="AM126" s="10">
        <f>IF(AND(ISNUMBER(F126),ISNUMBER(G126),ISNUMBER(M126),ISNUMBER(N126)),MOD(DEGREES(ATAN2(COS(RADIANS(M126))*SIN(RADIANS(F126))-SIN(RADIANS(M126))*COS(RADIANS(F126))*COS(RADIANS(G126-N126)),SIN(RADIANS(G126-N126))*COS(RADIANS(F126))))+360,360),"N/A")</f>
        <v>37.63723974959214</v>
      </c>
      <c r="AN126" s="2"/>
      <c r="AO126" s="2"/>
    </row>
    <row r="127" spans="1:41" x14ac:dyDescent="0.2">
      <c r="A127" s="4" t="s">
        <v>780</v>
      </c>
      <c r="B127" s="4" t="s">
        <v>775</v>
      </c>
      <c r="C127" s="5" t="s">
        <v>340</v>
      </c>
      <c r="D127" s="4" t="s">
        <v>70</v>
      </c>
      <c r="E127" s="4" t="s">
        <v>101</v>
      </c>
      <c r="F127" s="6">
        <v>39.7742</v>
      </c>
      <c r="G127" s="6">
        <v>17.049299999999999</v>
      </c>
      <c r="H127" s="7">
        <v>-907.5</v>
      </c>
      <c r="I127" s="4" t="s">
        <v>1333</v>
      </c>
      <c r="J127" s="4" t="s">
        <v>1062</v>
      </c>
      <c r="K127" s="6">
        <v>38.49</v>
      </c>
      <c r="L127" s="6">
        <v>14.933</v>
      </c>
      <c r="M127" s="5">
        <v>40.820999999999998</v>
      </c>
      <c r="N127" s="5">
        <v>14.426</v>
      </c>
      <c r="O127" s="4" t="s">
        <v>1074</v>
      </c>
      <c r="P127" s="5" t="s">
        <v>787</v>
      </c>
      <c r="Q127" s="5" t="s">
        <v>340</v>
      </c>
      <c r="R127" s="4" t="s">
        <v>184</v>
      </c>
      <c r="S127" s="4" t="s">
        <v>1121</v>
      </c>
      <c r="T127" s="7">
        <v>1470</v>
      </c>
      <c r="U127" s="7">
        <v>1970</v>
      </c>
      <c r="V127" s="7">
        <v>2470</v>
      </c>
      <c r="W127" s="15" t="s">
        <v>1106</v>
      </c>
      <c r="X127" s="15" t="s">
        <v>1333</v>
      </c>
      <c r="Y127" s="7" t="s">
        <v>340</v>
      </c>
      <c r="Z127" s="7" t="s">
        <v>340</v>
      </c>
      <c r="AA127" s="7" t="s">
        <v>340</v>
      </c>
      <c r="AB127" s="7" t="s">
        <v>340</v>
      </c>
      <c r="AC127" s="7" t="s">
        <v>340</v>
      </c>
      <c r="AD127" s="7" t="s">
        <v>340</v>
      </c>
      <c r="AE127" s="7">
        <v>1970</v>
      </c>
      <c r="AF127" s="7" t="s">
        <v>340</v>
      </c>
      <c r="AG127" s="7" t="s">
        <v>340</v>
      </c>
      <c r="AH127" s="5">
        <v>1</v>
      </c>
      <c r="AI127" s="5">
        <v>2</v>
      </c>
      <c r="AJ127" s="9">
        <f>IF(AND(ISNUMBER(F127),ISNUMBER(G127),ISNUMBER(K127),ISNUMBER(L127)),ACOS(MIN(1,COS(RADIANS(90-F127))*COS(RADIANS(90-K127))+SIN(RADIANS(90-F127))*SIN(RADIANS(90-K127))*COS(RADIANS(G127-L127))))*6371,"N/A")</f>
        <v>231.74361835190354</v>
      </c>
      <c r="AK127" s="10">
        <f>IF(AND(ISNUMBER(F127),ISNUMBER(G127),ISNUMBER(K127),ISNUMBER(L127)),MOD(DEGREES(ATAN2(COS(RADIANS(K127))*SIN(RADIANS(F127))-SIN(RADIANS(K127))*COS(RADIANS(F127))*COS(RADIANS(G127-L127)),SIN(RADIANS(G127-L127))*COS(RADIANS(F127))))+360,360),"N/A")</f>
        <v>51.300269771925912</v>
      </c>
      <c r="AL127" s="10">
        <f>IF(AND(ISNUMBER(F127),ISNUMBER(G127),ISNUMBER(M127),ISNUMBER(N127)),ACOS(MIN(1,COS(RADIANS(90-F127))*COS(RADIANS(90-M127))+SIN(RADIANS(90-F127))*SIN(RADIANS(90-M127))*COS(RADIANS(G127-N127))))*6371,"N/A")</f>
        <v>251.07071628569156</v>
      </c>
      <c r="AM127" s="10">
        <f>IF(AND(ISNUMBER(F127),ISNUMBER(G127),ISNUMBER(M127),ISNUMBER(N127)),MOD(DEGREES(ATAN2(COS(RADIANS(M127))*SIN(RADIANS(F127))-SIN(RADIANS(M127))*COS(RADIANS(F127))*COS(RADIANS(G127-N127)),SIN(RADIANS(G127-N127))*COS(RADIANS(F127))))+360,360),"N/A")</f>
        <v>116.7655149252634</v>
      </c>
      <c r="AN127" s="2"/>
      <c r="AO127" s="2"/>
    </row>
    <row r="128" spans="1:41" x14ac:dyDescent="0.2">
      <c r="A128" s="4" t="s">
        <v>57</v>
      </c>
      <c r="B128" s="4" t="s">
        <v>58</v>
      </c>
      <c r="C128" s="5">
        <v>832</v>
      </c>
      <c r="D128" s="4" t="s">
        <v>59</v>
      </c>
      <c r="E128" s="4" t="s">
        <v>60</v>
      </c>
      <c r="F128" s="6">
        <v>32.833300000000001</v>
      </c>
      <c r="G128" s="6">
        <v>22.166699999999999</v>
      </c>
      <c r="H128" s="7">
        <v>60</v>
      </c>
      <c r="I128" s="4" t="s">
        <v>61</v>
      </c>
      <c r="J128" s="4" t="s">
        <v>42</v>
      </c>
      <c r="K128" s="6">
        <v>37.747999999999998</v>
      </c>
      <c r="L128" s="6">
        <v>14.999000000000001</v>
      </c>
      <c r="M128" s="5" t="s">
        <v>340</v>
      </c>
      <c r="N128" s="5" t="s">
        <v>340</v>
      </c>
      <c r="O128" s="4" t="s">
        <v>874</v>
      </c>
      <c r="P128" s="5">
        <v>59</v>
      </c>
      <c r="Q128" s="5">
        <v>9999</v>
      </c>
      <c r="R128" s="4" t="s">
        <v>41</v>
      </c>
      <c r="S128" s="4" t="s">
        <v>1121</v>
      </c>
      <c r="T128" s="7">
        <v>17048</v>
      </c>
      <c r="U128" s="7">
        <v>17294</v>
      </c>
      <c r="V128" s="7">
        <v>17717</v>
      </c>
      <c r="W128" s="15" t="s">
        <v>934</v>
      </c>
      <c r="X128" s="15" t="s">
        <v>1365</v>
      </c>
      <c r="Y128" s="7">
        <v>14650</v>
      </c>
      <c r="Z128" s="7">
        <v>90</v>
      </c>
      <c r="AA128" s="7" t="s">
        <v>340</v>
      </c>
      <c r="AB128" s="7" t="s">
        <v>340</v>
      </c>
      <c r="AC128" s="7">
        <v>16440</v>
      </c>
      <c r="AD128" s="7">
        <v>820</v>
      </c>
      <c r="AE128" s="7">
        <v>17304</v>
      </c>
      <c r="AF128" s="7">
        <v>152</v>
      </c>
      <c r="AG128" s="7" t="s">
        <v>340</v>
      </c>
      <c r="AH128" s="5">
        <v>1</v>
      </c>
      <c r="AI128" s="5">
        <v>1</v>
      </c>
      <c r="AJ128" s="9">
        <f>IF(AND(ISNUMBER(F128),ISNUMBER(G128),ISNUMBER(K128),ISNUMBER(L128)),ACOS(MIN(1,COS(RADIANS(90-F128))*COS(RADIANS(90-K128))+SIN(RADIANS(90-F128))*SIN(RADIANS(90-K128))*COS(RADIANS(G128-L128))))*6371,"N/A")</f>
        <v>849.1333881813789</v>
      </c>
      <c r="AK128" s="10">
        <f>IF(AND(ISNUMBER(F128),ISNUMBER(G128),ISNUMBER(K128),ISNUMBER(L128)),MOD(DEGREES(ATAN2(COS(RADIANS(K128))*SIN(RADIANS(F128))-SIN(RADIANS(K128))*COS(RADIANS(F128))*COS(RADIANS(G128-L128)),SIN(RADIANS(G128-L128))*COS(RADIANS(F128))))+360,360),"N/A")</f>
        <v>127.91217782368369</v>
      </c>
      <c r="AL128" s="10" t="str">
        <f>IF(AND(ISNUMBER(F128),ISNUMBER(G128),ISNUMBER(M128),ISNUMBER(N128)),ACOS(MIN(1,COS(RADIANS(90-F128))*COS(RADIANS(90-M128))+SIN(RADIANS(90-F128))*SIN(RADIANS(90-M128))*COS(RADIANS(G128-N128))))*6371,"N/A")</f>
        <v>N/A</v>
      </c>
      <c r="AM128" s="10" t="str">
        <f>IF(AND(ISNUMBER(F128),ISNUMBER(G128),ISNUMBER(M128),ISNUMBER(N128)),MOD(DEGREES(ATAN2(COS(RADIANS(M128))*SIN(RADIANS(F128))-SIN(RADIANS(M128))*COS(RADIANS(F128))*COS(RADIANS(G128-N128)),SIN(RADIANS(G128-N128))*COS(RADIANS(F128))))+360,360),"N/A")</f>
        <v>N/A</v>
      </c>
      <c r="AN128" s="2"/>
      <c r="AO128" s="2"/>
    </row>
    <row r="129" spans="1:41" x14ac:dyDescent="0.2">
      <c r="A129" s="4" t="s">
        <v>242</v>
      </c>
      <c r="B129" s="4" t="s">
        <v>67</v>
      </c>
      <c r="C129" s="5">
        <v>703</v>
      </c>
      <c r="D129" s="4" t="s">
        <v>602</v>
      </c>
      <c r="E129" s="4" t="s">
        <v>68</v>
      </c>
      <c r="F129" s="6">
        <v>37.126399999999997</v>
      </c>
      <c r="G129" s="6">
        <v>29.6008</v>
      </c>
      <c r="H129" s="7">
        <v>930</v>
      </c>
      <c r="I129" s="4" t="s">
        <v>1211</v>
      </c>
      <c r="J129" s="4" t="s">
        <v>241</v>
      </c>
      <c r="K129" s="6">
        <v>36.404000000000003</v>
      </c>
      <c r="L129" s="6">
        <v>25.396000000000001</v>
      </c>
      <c r="M129" s="5" t="s">
        <v>340</v>
      </c>
      <c r="N129" s="5" t="s">
        <v>340</v>
      </c>
      <c r="O129" s="4" t="s">
        <v>387</v>
      </c>
      <c r="P129" s="5">
        <v>68</v>
      </c>
      <c r="Q129" s="5">
        <v>9999</v>
      </c>
      <c r="R129" s="4" t="s">
        <v>243</v>
      </c>
      <c r="S129" s="4" t="s">
        <v>244</v>
      </c>
      <c r="T129" s="7">
        <v>3510</v>
      </c>
      <c r="U129" s="7">
        <v>3535</v>
      </c>
      <c r="V129" s="7">
        <v>3559</v>
      </c>
      <c r="W129" s="21" t="s">
        <v>935</v>
      </c>
      <c r="X129" s="21" t="s">
        <v>852</v>
      </c>
      <c r="Y129" s="7" t="s">
        <v>340</v>
      </c>
      <c r="Z129" s="7" t="s">
        <v>340</v>
      </c>
      <c r="AA129" s="7" t="s">
        <v>340</v>
      </c>
      <c r="AB129" s="7" t="s">
        <v>340</v>
      </c>
      <c r="AC129" s="7" t="s">
        <v>340</v>
      </c>
      <c r="AD129" s="7" t="s">
        <v>340</v>
      </c>
      <c r="AE129" s="7">
        <v>3535</v>
      </c>
      <c r="AF129" s="7">
        <v>25</v>
      </c>
      <c r="AG129" s="7" t="s">
        <v>340</v>
      </c>
      <c r="AH129" s="5">
        <v>1</v>
      </c>
      <c r="AI129" s="5">
        <v>1</v>
      </c>
      <c r="AJ129" s="9">
        <f>IF(AND(ISNUMBER(F129),ISNUMBER(G129),ISNUMBER(K129),ISNUMBER(L129)),ACOS(MIN(1,COS(RADIANS(90-F129))*COS(RADIANS(90-K129))+SIN(RADIANS(90-F129))*SIN(RADIANS(90-K129))*COS(RADIANS(G129-L129))))*6371,"N/A")</f>
        <v>383.03469755937505</v>
      </c>
      <c r="AK129" s="10">
        <f>IF(AND(ISNUMBER(F129),ISNUMBER(G129),ISNUMBER(K129),ISNUMBER(L129)),MOD(DEGREES(ATAN2(COS(RADIANS(K129))*SIN(RADIANS(F129))-SIN(RADIANS(K129))*COS(RADIANS(F129))*COS(RADIANS(G129-L129)),SIN(RADIANS(G129-L129))*COS(RADIANS(F129))))+360,360),"N/A")</f>
        <v>76.642239317977044</v>
      </c>
      <c r="AL129" s="10" t="str">
        <f>IF(AND(ISNUMBER(F129),ISNUMBER(G129),ISNUMBER(M129),ISNUMBER(N129)),ACOS(MIN(1,COS(RADIANS(90-F129))*COS(RADIANS(90-M129))+SIN(RADIANS(90-F129))*SIN(RADIANS(90-M129))*COS(RADIANS(G129-N129))))*6371,"N/A")</f>
        <v>N/A</v>
      </c>
      <c r="AM129" s="10" t="str">
        <f>IF(AND(ISNUMBER(F129),ISNUMBER(G129),ISNUMBER(M129),ISNUMBER(N129)),MOD(DEGREES(ATAN2(COS(RADIANS(M129))*SIN(RADIANS(F129))-SIN(RADIANS(M129))*COS(RADIANS(F129))*COS(RADIANS(G129-N129)),SIN(RADIANS(G129-N129))*COS(RADIANS(F129))))+360,360),"N/A")</f>
        <v>N/A</v>
      </c>
      <c r="AN129" s="2"/>
      <c r="AO129" s="2"/>
    </row>
    <row r="130" spans="1:41" x14ac:dyDescent="0.2">
      <c r="A130" s="4" t="s">
        <v>1162</v>
      </c>
      <c r="B130" s="4" t="s">
        <v>681</v>
      </c>
      <c r="C130" s="5" t="s">
        <v>340</v>
      </c>
      <c r="D130" s="4" t="s">
        <v>70</v>
      </c>
      <c r="E130" s="4" t="s">
        <v>73</v>
      </c>
      <c r="F130" s="6">
        <v>34.627000000000002</v>
      </c>
      <c r="G130" s="6">
        <v>28.315999999999999</v>
      </c>
      <c r="H130" s="7">
        <v>-2354</v>
      </c>
      <c r="I130" s="4" t="s">
        <v>1214</v>
      </c>
      <c r="J130" s="4" t="s">
        <v>241</v>
      </c>
      <c r="K130" s="6">
        <v>36.404000000000003</v>
      </c>
      <c r="L130" s="6">
        <v>25.396000000000001</v>
      </c>
      <c r="M130" s="5" t="s">
        <v>340</v>
      </c>
      <c r="N130" s="5" t="s">
        <v>340</v>
      </c>
      <c r="O130" s="4" t="s">
        <v>246</v>
      </c>
      <c r="P130" s="5" t="s">
        <v>340</v>
      </c>
      <c r="Q130" s="5" t="s">
        <v>340</v>
      </c>
      <c r="R130" s="4" t="s">
        <v>673</v>
      </c>
      <c r="T130" s="7">
        <v>21353</v>
      </c>
      <c r="U130" s="7">
        <v>22170</v>
      </c>
      <c r="V130" s="7">
        <v>22575</v>
      </c>
      <c r="W130" s="15" t="s">
        <v>933</v>
      </c>
      <c r="X130" s="15" t="s">
        <v>1358</v>
      </c>
      <c r="Y130" s="7" t="s">
        <v>340</v>
      </c>
      <c r="Z130" s="7" t="s">
        <v>340</v>
      </c>
      <c r="AA130" s="7" t="s">
        <v>340</v>
      </c>
      <c r="AB130" s="7" t="s">
        <v>340</v>
      </c>
      <c r="AC130" s="7" t="s">
        <v>340</v>
      </c>
      <c r="AD130" s="7" t="s">
        <v>340</v>
      </c>
      <c r="AE130" s="7">
        <v>22101</v>
      </c>
      <c r="AF130" s="7">
        <v>308</v>
      </c>
      <c r="AG130" s="7" t="s">
        <v>340</v>
      </c>
      <c r="AH130" s="5">
        <v>1</v>
      </c>
      <c r="AI130" s="5">
        <v>1</v>
      </c>
      <c r="AJ130" s="9">
        <f>IF(AND(ISNUMBER(F130),ISNUMBER(G130),ISNUMBER(K130),ISNUMBER(L130)),ACOS(MIN(1,COS(RADIANS(90-F130))*COS(RADIANS(90-K130))+SIN(RADIANS(90-F130))*SIN(RADIANS(90-K130))*COS(RADIANS(G130-L130))))*6371,"N/A")</f>
        <v>329.95401186353348</v>
      </c>
      <c r="AK130" s="10">
        <f>IF(AND(ISNUMBER(F130),ISNUMBER(G130),ISNUMBER(K130),ISNUMBER(L130)),MOD(DEGREES(ATAN2(COS(RADIANS(K130))*SIN(RADIANS(F130))-SIN(RADIANS(K130))*COS(RADIANS(F130))*COS(RADIANS(G130-L130)),SIN(RADIANS(G130-L130))*COS(RADIANS(F130))))+360,360),"N/A")</f>
        <v>125.92846199324327</v>
      </c>
      <c r="AL130" s="10" t="str">
        <f>IF(AND(ISNUMBER(F130),ISNUMBER(G130),ISNUMBER(M130),ISNUMBER(N130)),ACOS(MIN(1,COS(RADIANS(90-F130))*COS(RADIANS(90-M130))+SIN(RADIANS(90-F130))*SIN(RADIANS(90-M130))*COS(RADIANS(G130-N130))))*6371,"N/A")</f>
        <v>N/A</v>
      </c>
      <c r="AM130" s="10" t="str">
        <f>IF(AND(ISNUMBER(F130),ISNUMBER(G130),ISNUMBER(M130),ISNUMBER(N130)),MOD(DEGREES(ATAN2(COS(RADIANS(M130))*SIN(RADIANS(F130))-SIN(RADIANS(M130))*COS(RADIANS(F130))*COS(RADIANS(G130-N130)),SIN(RADIANS(G130-N130))*COS(RADIANS(F130))))+360,360),"N/A")</f>
        <v>N/A</v>
      </c>
      <c r="AN130" s="2"/>
      <c r="AO130" s="2"/>
    </row>
    <row r="131" spans="1:41" x14ac:dyDescent="0.2">
      <c r="A131" s="4" t="s">
        <v>1163</v>
      </c>
      <c r="B131" s="14" t="s">
        <v>683</v>
      </c>
      <c r="C131" s="5" t="s">
        <v>340</v>
      </c>
      <c r="D131" s="4" t="s">
        <v>70</v>
      </c>
      <c r="E131" s="4" t="s">
        <v>73</v>
      </c>
      <c r="F131" s="6">
        <v>34.1</v>
      </c>
      <c r="G131" s="6">
        <v>18.25</v>
      </c>
      <c r="H131" s="7">
        <v>-2850</v>
      </c>
      <c r="I131" s="4" t="s">
        <v>1214</v>
      </c>
      <c r="J131" s="4" t="s">
        <v>241</v>
      </c>
      <c r="K131" s="6">
        <v>36.404000000000003</v>
      </c>
      <c r="L131" s="6">
        <v>25.396000000000001</v>
      </c>
      <c r="M131" s="5" t="s">
        <v>340</v>
      </c>
      <c r="N131" s="5" t="s">
        <v>340</v>
      </c>
      <c r="O131" s="4" t="s">
        <v>246</v>
      </c>
      <c r="P131" s="5" t="s">
        <v>340</v>
      </c>
      <c r="Q131" s="5" t="s">
        <v>340</v>
      </c>
      <c r="R131" s="4" t="s">
        <v>673</v>
      </c>
      <c r="T131" s="7">
        <v>21353</v>
      </c>
      <c r="U131" s="7">
        <v>22170</v>
      </c>
      <c r="V131" s="7">
        <v>22575</v>
      </c>
      <c r="W131" s="15" t="s">
        <v>933</v>
      </c>
      <c r="X131" s="15" t="s">
        <v>1358</v>
      </c>
      <c r="Y131" s="7" t="s">
        <v>340</v>
      </c>
      <c r="Z131" s="7" t="s">
        <v>340</v>
      </c>
      <c r="AA131" s="7" t="s">
        <v>340</v>
      </c>
      <c r="AB131" s="7" t="s">
        <v>340</v>
      </c>
      <c r="AC131" s="7" t="s">
        <v>340</v>
      </c>
      <c r="AD131" s="7" t="s">
        <v>340</v>
      </c>
      <c r="AE131" s="7">
        <v>22101</v>
      </c>
      <c r="AF131" s="7">
        <v>308</v>
      </c>
      <c r="AG131" s="7" t="s">
        <v>340</v>
      </c>
      <c r="AH131" s="5">
        <v>1</v>
      </c>
      <c r="AI131" s="5">
        <v>1</v>
      </c>
      <c r="AJ131" s="9">
        <f>IF(AND(ISNUMBER(F131),ISNUMBER(G131),ISNUMBER(K131),ISNUMBER(L131)),ACOS(MIN(1,COS(RADIANS(90-F131))*COS(RADIANS(90-K131))+SIN(RADIANS(90-F131))*SIN(RADIANS(90-K131))*COS(RADIANS(G131-L131))))*6371,"N/A")</f>
        <v>697.39861626143897</v>
      </c>
      <c r="AK131" s="10">
        <f>IF(AND(ISNUMBER(F131),ISNUMBER(G131),ISNUMBER(K131),ISNUMBER(L131)),MOD(DEGREES(ATAN2(COS(RADIANS(K131))*SIN(RADIANS(F131))-SIN(RADIANS(K131))*COS(RADIANS(F131))*COS(RADIANS(G131-L131)),SIN(RADIANS(G131-L131))*COS(RADIANS(F131))))+360,360),"N/A")</f>
        <v>250.54606206802836</v>
      </c>
      <c r="AL131" s="10" t="str">
        <f>IF(AND(ISNUMBER(F131),ISNUMBER(G131),ISNUMBER(M131),ISNUMBER(N131)),ACOS(MIN(1,COS(RADIANS(90-F131))*COS(RADIANS(90-M131))+SIN(RADIANS(90-F131))*SIN(RADIANS(90-M131))*COS(RADIANS(G131-N131))))*6371,"N/A")</f>
        <v>N/A</v>
      </c>
      <c r="AM131" s="10" t="str">
        <f>IF(AND(ISNUMBER(F131),ISNUMBER(G131),ISNUMBER(M131),ISNUMBER(N131)),MOD(DEGREES(ATAN2(COS(RADIANS(M131))*SIN(RADIANS(F131))-SIN(RADIANS(M131))*COS(RADIANS(F131))*COS(RADIANS(G131-N131)),SIN(RADIANS(G131-N131))*COS(RADIANS(F131))))+360,360),"N/A")</f>
        <v>N/A</v>
      </c>
      <c r="AN131" s="2"/>
      <c r="AO131" s="2"/>
    </row>
    <row r="132" spans="1:41" x14ac:dyDescent="0.2">
      <c r="A132" s="4" t="s">
        <v>1164</v>
      </c>
      <c r="B132" s="14" t="s">
        <v>684</v>
      </c>
      <c r="C132" s="5" t="s">
        <v>340</v>
      </c>
      <c r="D132" s="4" t="s">
        <v>70</v>
      </c>
      <c r="E132" s="4" t="s">
        <v>73</v>
      </c>
      <c r="F132" s="6">
        <v>35.177</v>
      </c>
      <c r="G132" s="6">
        <v>29.734999999999999</v>
      </c>
      <c r="H132" s="7">
        <v>-2650</v>
      </c>
      <c r="I132" s="4" t="s">
        <v>1214</v>
      </c>
      <c r="J132" s="4" t="s">
        <v>241</v>
      </c>
      <c r="K132" s="6">
        <v>36.404000000000003</v>
      </c>
      <c r="L132" s="6">
        <v>25.396000000000001</v>
      </c>
      <c r="M132" s="5" t="s">
        <v>340</v>
      </c>
      <c r="N132" s="5" t="s">
        <v>340</v>
      </c>
      <c r="O132" s="4" t="s">
        <v>246</v>
      </c>
      <c r="P132" s="5" t="s">
        <v>340</v>
      </c>
      <c r="Q132" s="5" t="s">
        <v>340</v>
      </c>
      <c r="R132" s="4" t="s">
        <v>673</v>
      </c>
      <c r="T132" s="7">
        <v>21353</v>
      </c>
      <c r="U132" s="7">
        <v>22170</v>
      </c>
      <c r="V132" s="7">
        <v>22575</v>
      </c>
      <c r="W132" s="15" t="s">
        <v>933</v>
      </c>
      <c r="X132" s="15" t="s">
        <v>1358</v>
      </c>
      <c r="Y132" s="7" t="s">
        <v>340</v>
      </c>
      <c r="Z132" s="7" t="s">
        <v>340</v>
      </c>
      <c r="AA132" s="7" t="s">
        <v>340</v>
      </c>
      <c r="AB132" s="7" t="s">
        <v>340</v>
      </c>
      <c r="AC132" s="7" t="s">
        <v>340</v>
      </c>
      <c r="AD132" s="7" t="s">
        <v>340</v>
      </c>
      <c r="AE132" s="7">
        <v>22101</v>
      </c>
      <c r="AF132" s="7">
        <v>308</v>
      </c>
      <c r="AG132" s="7" t="s">
        <v>340</v>
      </c>
      <c r="AH132" s="5">
        <v>1</v>
      </c>
      <c r="AI132" s="5">
        <v>1</v>
      </c>
      <c r="AJ132" s="9">
        <f>IF(AND(ISNUMBER(F132),ISNUMBER(G132),ISNUMBER(K132),ISNUMBER(L132)),ACOS(MIN(1,COS(RADIANS(90-F132))*COS(RADIANS(90-K132))+SIN(RADIANS(90-F132))*SIN(RADIANS(90-K132))*COS(RADIANS(G132-L132))))*6371,"N/A")</f>
        <v>414.41655232526568</v>
      </c>
      <c r="AK132" s="10">
        <f>IF(AND(ISNUMBER(F132),ISNUMBER(G132),ISNUMBER(K132),ISNUMBER(L132)),MOD(DEGREES(ATAN2(COS(RADIANS(K132))*SIN(RADIANS(F132))-SIN(RADIANS(K132))*COS(RADIANS(F132))*COS(RADIANS(G132-L132)),SIN(RADIANS(G132-L132))*COS(RADIANS(F132))))+360,360),"N/A")</f>
        <v>107.94129984084532</v>
      </c>
      <c r="AL132" s="10" t="str">
        <f>IF(AND(ISNUMBER(F132),ISNUMBER(G132),ISNUMBER(M132),ISNUMBER(N132)),ACOS(MIN(1,COS(RADIANS(90-F132))*COS(RADIANS(90-M132))+SIN(RADIANS(90-F132))*SIN(RADIANS(90-M132))*COS(RADIANS(G132-N132))))*6371,"N/A")</f>
        <v>N/A</v>
      </c>
      <c r="AM132" s="10" t="str">
        <f>IF(AND(ISNUMBER(F132),ISNUMBER(G132),ISNUMBER(M132),ISNUMBER(N132)),MOD(DEGREES(ATAN2(COS(RADIANS(M132))*SIN(RADIANS(F132))-SIN(RADIANS(M132))*COS(RADIANS(F132))*COS(RADIANS(G132-N132)),SIN(RADIANS(G132-N132))*COS(RADIANS(F132))))+360,360),"N/A")</f>
        <v>N/A</v>
      </c>
      <c r="AN132" s="2"/>
      <c r="AO132" s="2"/>
    </row>
    <row r="133" spans="1:41" x14ac:dyDescent="0.2">
      <c r="A133" s="4" t="s">
        <v>1165</v>
      </c>
      <c r="B133" s="14" t="s">
        <v>135</v>
      </c>
      <c r="C133" s="5" t="s">
        <v>340</v>
      </c>
      <c r="D133" s="4" t="s">
        <v>70</v>
      </c>
      <c r="E133" s="4" t="s">
        <v>73</v>
      </c>
      <c r="F133" s="45">
        <v>34.097000000000001</v>
      </c>
      <c r="G133" s="45">
        <v>21.361999999999998</v>
      </c>
      <c r="H133" s="7">
        <v>-3150</v>
      </c>
      <c r="I133" s="4" t="s">
        <v>1214</v>
      </c>
      <c r="J133" s="4" t="s">
        <v>241</v>
      </c>
      <c r="K133" s="6">
        <v>36.404000000000003</v>
      </c>
      <c r="L133" s="6">
        <v>25.396000000000001</v>
      </c>
      <c r="M133" s="5" t="s">
        <v>340</v>
      </c>
      <c r="N133" s="5" t="s">
        <v>340</v>
      </c>
      <c r="O133" s="4" t="s">
        <v>246</v>
      </c>
      <c r="P133" s="5" t="s">
        <v>340</v>
      </c>
      <c r="Q133" s="5" t="s">
        <v>340</v>
      </c>
      <c r="R133" s="4" t="s">
        <v>673</v>
      </c>
      <c r="T133" s="7">
        <v>21353</v>
      </c>
      <c r="U133" s="7">
        <v>22170</v>
      </c>
      <c r="V133" s="7">
        <v>22575</v>
      </c>
      <c r="W133" s="15" t="s">
        <v>933</v>
      </c>
      <c r="X133" s="15" t="s">
        <v>1358</v>
      </c>
      <c r="Y133" s="7" t="s">
        <v>340</v>
      </c>
      <c r="Z133" s="7" t="s">
        <v>340</v>
      </c>
      <c r="AA133" s="7" t="s">
        <v>340</v>
      </c>
      <c r="AB133" s="7" t="s">
        <v>340</v>
      </c>
      <c r="AC133" s="7" t="s">
        <v>340</v>
      </c>
      <c r="AD133" s="7" t="s">
        <v>340</v>
      </c>
      <c r="AE133" s="7">
        <v>22101</v>
      </c>
      <c r="AF133" s="7">
        <v>308</v>
      </c>
      <c r="AG133" s="7" t="s">
        <v>340</v>
      </c>
      <c r="AH133" s="5">
        <v>1</v>
      </c>
      <c r="AI133" s="5">
        <v>1</v>
      </c>
      <c r="AJ133" s="9">
        <f>IF(AND(ISNUMBER(F133),ISNUMBER(G133),ISNUMBER(K133),ISNUMBER(L133)),ACOS(MIN(1,COS(RADIANS(90-F133))*COS(RADIANS(90-K133))+SIN(RADIANS(90-F133))*SIN(RADIANS(90-K133))*COS(RADIANS(G133-L133))))*6371,"N/A")</f>
        <v>447.13056426504903</v>
      </c>
      <c r="AK133" s="10">
        <f>IF(AND(ISNUMBER(F133),ISNUMBER(G133),ISNUMBER(K133),ISNUMBER(L133)),MOD(DEGREES(ATAN2(COS(RADIANS(K133))*SIN(RADIANS(F133))-SIN(RADIANS(K133))*COS(RADIANS(F133))*COS(RADIANS(G133-L133)),SIN(RADIANS(G133-L133))*COS(RADIANS(F133))))+360,360),"N/A")</f>
        <v>236.17413586147973</v>
      </c>
      <c r="AL133" s="10" t="str">
        <f>IF(AND(ISNUMBER(F133),ISNUMBER(G133),ISNUMBER(M133),ISNUMBER(N133)),ACOS(MIN(1,COS(RADIANS(90-F133))*COS(RADIANS(90-M133))+SIN(RADIANS(90-F133))*SIN(RADIANS(90-M133))*COS(RADIANS(G133-N133))))*6371,"N/A")</f>
        <v>N/A</v>
      </c>
      <c r="AM133" s="10" t="str">
        <f>IF(AND(ISNUMBER(F133),ISNUMBER(G133),ISNUMBER(M133),ISNUMBER(N133)),MOD(DEGREES(ATAN2(COS(RADIANS(M133))*SIN(RADIANS(F133))-SIN(RADIANS(M133))*COS(RADIANS(F133))*COS(RADIANS(G133-N133)),SIN(RADIANS(G133-N133))*COS(RADIANS(F133))))+360,360),"N/A")</f>
        <v>N/A</v>
      </c>
      <c r="AN133" s="2"/>
      <c r="AO133" s="2"/>
    </row>
    <row r="134" spans="1:41" x14ac:dyDescent="0.2">
      <c r="A134" s="4" t="s">
        <v>1166</v>
      </c>
      <c r="B134" s="14" t="s">
        <v>689</v>
      </c>
      <c r="C134" s="5" t="s">
        <v>340</v>
      </c>
      <c r="D134" s="4" t="s">
        <v>70</v>
      </c>
      <c r="E134" s="4" t="s">
        <v>73</v>
      </c>
      <c r="F134" s="6">
        <v>35.921999999999997</v>
      </c>
      <c r="G134" s="6">
        <v>26.105</v>
      </c>
      <c r="H134" s="7" t="s">
        <v>340</v>
      </c>
      <c r="I134" s="4" t="s">
        <v>1214</v>
      </c>
      <c r="J134" s="4" t="s">
        <v>241</v>
      </c>
      <c r="K134" s="6">
        <v>36.404000000000003</v>
      </c>
      <c r="L134" s="6">
        <v>25.396000000000001</v>
      </c>
      <c r="M134" s="5" t="s">
        <v>340</v>
      </c>
      <c r="N134" s="5" t="s">
        <v>340</v>
      </c>
      <c r="O134" s="4" t="s">
        <v>246</v>
      </c>
      <c r="P134" s="5" t="s">
        <v>340</v>
      </c>
      <c r="Q134" s="5" t="s">
        <v>340</v>
      </c>
      <c r="R134" s="4" t="s">
        <v>673</v>
      </c>
      <c r="T134" s="7">
        <v>21353</v>
      </c>
      <c r="U134" s="7">
        <v>22170</v>
      </c>
      <c r="V134" s="7">
        <v>22575</v>
      </c>
      <c r="W134" s="15" t="s">
        <v>933</v>
      </c>
      <c r="X134" s="15" t="s">
        <v>1358</v>
      </c>
      <c r="Y134" s="7" t="s">
        <v>340</v>
      </c>
      <c r="Z134" s="7" t="s">
        <v>340</v>
      </c>
      <c r="AA134" s="7" t="s">
        <v>340</v>
      </c>
      <c r="AB134" s="7" t="s">
        <v>340</v>
      </c>
      <c r="AC134" s="7" t="s">
        <v>340</v>
      </c>
      <c r="AD134" s="7" t="s">
        <v>340</v>
      </c>
      <c r="AE134" s="7">
        <v>22101</v>
      </c>
      <c r="AF134" s="7">
        <v>308</v>
      </c>
      <c r="AG134" s="7" t="s">
        <v>340</v>
      </c>
      <c r="AH134" s="5">
        <v>1</v>
      </c>
      <c r="AI134" s="5">
        <v>1</v>
      </c>
      <c r="AJ134" s="9">
        <f>IF(AND(ISNUMBER(F134),ISNUMBER(G134),ISNUMBER(K134),ISNUMBER(L134)),ACOS(MIN(1,COS(RADIANS(90-F134))*COS(RADIANS(90-K134))+SIN(RADIANS(90-F134))*SIN(RADIANS(90-K134))*COS(RADIANS(G134-L134))))*6371,"N/A")</f>
        <v>83.208076228650668</v>
      </c>
      <c r="AK134" s="10">
        <f>IF(AND(ISNUMBER(F134),ISNUMBER(G134),ISNUMBER(K134),ISNUMBER(L134)),MOD(DEGREES(ATAN2(COS(RADIANS(K134))*SIN(RADIANS(F134))-SIN(RADIANS(K134))*COS(RADIANS(F134))*COS(RADIANS(G134-L134)),SIN(RADIANS(G134-L134))*COS(RADIANS(F134))))+360,360),"N/A")</f>
        <v>129.88978847365593</v>
      </c>
      <c r="AL134" s="10" t="str">
        <f>IF(AND(ISNUMBER(F134),ISNUMBER(G134),ISNUMBER(M134),ISNUMBER(N134)),ACOS(MIN(1,COS(RADIANS(90-F134))*COS(RADIANS(90-M134))+SIN(RADIANS(90-F134))*SIN(RADIANS(90-M134))*COS(RADIANS(G134-N134))))*6371,"N/A")</f>
        <v>N/A</v>
      </c>
      <c r="AM134" s="10" t="str">
        <f>IF(AND(ISNUMBER(F134),ISNUMBER(G134),ISNUMBER(M134),ISNUMBER(N134)),MOD(DEGREES(ATAN2(COS(RADIANS(M134))*SIN(RADIANS(F134))-SIN(RADIANS(M134))*COS(RADIANS(F134))*COS(RADIANS(G134-N134)),SIN(RADIANS(G134-N134))*COS(RADIANS(F134))))+360,360),"N/A")</f>
        <v>N/A</v>
      </c>
      <c r="AN134" s="2"/>
      <c r="AO134" s="2"/>
    </row>
    <row r="135" spans="1:41" x14ac:dyDescent="0.2">
      <c r="A135" s="4" t="s">
        <v>1167</v>
      </c>
      <c r="B135" s="4" t="s">
        <v>677</v>
      </c>
      <c r="C135" s="5" t="s">
        <v>340</v>
      </c>
      <c r="D135" s="4" t="s">
        <v>70</v>
      </c>
      <c r="E135" s="4" t="s">
        <v>73</v>
      </c>
      <c r="F135" s="6">
        <v>34.85</v>
      </c>
      <c r="G135" s="6">
        <v>26.39</v>
      </c>
      <c r="H135" s="7" t="s">
        <v>340</v>
      </c>
      <c r="I135" s="4" t="s">
        <v>1214</v>
      </c>
      <c r="J135" s="4" t="s">
        <v>241</v>
      </c>
      <c r="K135" s="6">
        <v>36.404000000000003</v>
      </c>
      <c r="L135" s="6">
        <v>25.396000000000001</v>
      </c>
      <c r="M135" s="5" t="s">
        <v>340</v>
      </c>
      <c r="N135" s="5" t="s">
        <v>340</v>
      </c>
      <c r="O135" s="4" t="s">
        <v>387</v>
      </c>
      <c r="P135" s="5" t="s">
        <v>340</v>
      </c>
      <c r="Q135" s="5" t="s">
        <v>340</v>
      </c>
      <c r="R135" s="4" t="s">
        <v>673</v>
      </c>
      <c r="T135" s="7">
        <v>3510</v>
      </c>
      <c r="U135" s="7">
        <v>3535</v>
      </c>
      <c r="V135" s="7">
        <v>3559</v>
      </c>
      <c r="W135" s="21" t="s">
        <v>935</v>
      </c>
      <c r="X135" s="21" t="s">
        <v>852</v>
      </c>
      <c r="Y135" s="7" t="s">
        <v>340</v>
      </c>
      <c r="Z135" s="7" t="s">
        <v>340</v>
      </c>
      <c r="AA135" s="7" t="s">
        <v>340</v>
      </c>
      <c r="AB135" s="7" t="s">
        <v>340</v>
      </c>
      <c r="AC135" s="7" t="s">
        <v>340</v>
      </c>
      <c r="AD135" s="7" t="s">
        <v>340</v>
      </c>
      <c r="AE135" s="7">
        <v>3535</v>
      </c>
      <c r="AF135" s="7">
        <v>25</v>
      </c>
      <c r="AG135" s="7" t="s">
        <v>340</v>
      </c>
      <c r="AH135" s="5">
        <v>1</v>
      </c>
      <c r="AI135" s="5">
        <v>1</v>
      </c>
      <c r="AJ135" s="9">
        <f>IF(AND(ISNUMBER(F135),ISNUMBER(G135),ISNUMBER(K135),ISNUMBER(L135)),ACOS(MIN(1,COS(RADIANS(90-F135))*COS(RADIANS(90-K135))+SIN(RADIANS(90-F135))*SIN(RADIANS(90-K135))*COS(RADIANS(G135-L135))))*6371,"N/A")</f>
        <v>194.75279512576259</v>
      </c>
      <c r="AK135" s="10">
        <f>IF(AND(ISNUMBER(F135),ISNUMBER(G135),ISNUMBER(K135),ISNUMBER(L135)),MOD(DEGREES(ATAN2(COS(RADIANS(K135))*SIN(RADIANS(F135))-SIN(RADIANS(K135))*COS(RADIANS(F135))*COS(RADIANS(G135-L135)),SIN(RADIANS(G135-L135))*COS(RADIANS(F135))))+360,360),"N/A")</f>
        <v>152.23851509523502</v>
      </c>
      <c r="AL135" s="10" t="str">
        <f>IF(AND(ISNUMBER(F135),ISNUMBER(G135),ISNUMBER(M135),ISNUMBER(N135)),ACOS(MIN(1,COS(RADIANS(90-F135))*COS(RADIANS(90-M135))+SIN(RADIANS(90-F135))*SIN(RADIANS(90-M135))*COS(RADIANS(G135-N135))))*6371,"N/A")</f>
        <v>N/A</v>
      </c>
      <c r="AM135" s="10" t="str">
        <f>IF(AND(ISNUMBER(F135),ISNUMBER(G135),ISNUMBER(M135),ISNUMBER(N135)),MOD(DEGREES(ATAN2(COS(RADIANS(M135))*SIN(RADIANS(F135))-SIN(RADIANS(M135))*COS(RADIANS(F135))*COS(RADIANS(G135-N135)),SIN(RADIANS(G135-N135))*COS(RADIANS(F135))))+360,360),"N/A")</f>
        <v>N/A</v>
      </c>
      <c r="AN135" s="2"/>
      <c r="AO135" s="2"/>
    </row>
    <row r="136" spans="1:41" x14ac:dyDescent="0.2">
      <c r="A136" s="4" t="s">
        <v>1169</v>
      </c>
      <c r="B136" s="4" t="s">
        <v>679</v>
      </c>
      <c r="C136" s="5" t="s">
        <v>340</v>
      </c>
      <c r="D136" s="4" t="s">
        <v>70</v>
      </c>
      <c r="E136" s="4" t="s">
        <v>73</v>
      </c>
      <c r="F136" s="6">
        <v>34.002000000000002</v>
      </c>
      <c r="G136" s="6">
        <v>28.917000000000002</v>
      </c>
      <c r="H136" s="7">
        <v>-2585</v>
      </c>
      <c r="I136" s="4" t="s">
        <v>1214</v>
      </c>
      <c r="J136" s="4" t="s">
        <v>241</v>
      </c>
      <c r="K136" s="6">
        <v>36.404000000000003</v>
      </c>
      <c r="L136" s="6">
        <v>25.396000000000001</v>
      </c>
      <c r="M136" s="5" t="s">
        <v>340</v>
      </c>
      <c r="N136" s="5" t="s">
        <v>340</v>
      </c>
      <c r="O136" s="4" t="s">
        <v>387</v>
      </c>
      <c r="P136" s="5" t="s">
        <v>340</v>
      </c>
      <c r="Q136" s="5" t="s">
        <v>340</v>
      </c>
      <c r="R136" s="4" t="s">
        <v>673</v>
      </c>
      <c r="T136" s="7">
        <v>3510</v>
      </c>
      <c r="U136" s="7">
        <v>3535</v>
      </c>
      <c r="V136" s="7">
        <v>3559</v>
      </c>
      <c r="W136" s="21" t="s">
        <v>935</v>
      </c>
      <c r="X136" s="21" t="s">
        <v>852</v>
      </c>
      <c r="Y136" s="7" t="s">
        <v>340</v>
      </c>
      <c r="Z136" s="7" t="s">
        <v>340</v>
      </c>
      <c r="AA136" s="7" t="s">
        <v>340</v>
      </c>
      <c r="AB136" s="7" t="s">
        <v>340</v>
      </c>
      <c r="AC136" s="7" t="s">
        <v>340</v>
      </c>
      <c r="AD136" s="7" t="s">
        <v>340</v>
      </c>
      <c r="AE136" s="7">
        <v>3535</v>
      </c>
      <c r="AF136" s="7">
        <v>25</v>
      </c>
      <c r="AG136" s="7" t="s">
        <v>340</v>
      </c>
      <c r="AH136" s="5">
        <v>1</v>
      </c>
      <c r="AI136" s="5">
        <v>1</v>
      </c>
      <c r="AJ136" s="9">
        <f>IF(AND(ISNUMBER(F136),ISNUMBER(G136),ISNUMBER(K136),ISNUMBER(L136)),ACOS(MIN(1,COS(RADIANS(90-F136))*COS(RADIANS(90-K136))+SIN(RADIANS(90-F136))*SIN(RADIANS(90-K136))*COS(RADIANS(G136-L136))))*6371,"N/A")</f>
        <v>416.69465569120803</v>
      </c>
      <c r="AK136" s="10">
        <f>IF(AND(ISNUMBER(F136),ISNUMBER(G136),ISNUMBER(K136),ISNUMBER(L136)),MOD(DEGREES(ATAN2(COS(RADIANS(K136))*SIN(RADIANS(F136))-SIN(RADIANS(K136))*COS(RADIANS(F136))*COS(RADIANS(G136-L136)),SIN(RADIANS(G136-L136))*COS(RADIANS(F136))))+360,360),"N/A")</f>
        <v>128.83156562900911</v>
      </c>
      <c r="AL136" s="10" t="str">
        <f>IF(AND(ISNUMBER(F136),ISNUMBER(G136),ISNUMBER(M136),ISNUMBER(N136)),ACOS(MIN(1,COS(RADIANS(90-F136))*COS(RADIANS(90-M136))+SIN(RADIANS(90-F136))*SIN(RADIANS(90-M136))*COS(RADIANS(G136-N136))))*6371,"N/A")</f>
        <v>N/A</v>
      </c>
      <c r="AM136" s="10" t="str">
        <f>IF(AND(ISNUMBER(F136),ISNUMBER(G136),ISNUMBER(M136),ISNUMBER(N136)),MOD(DEGREES(ATAN2(COS(RADIANS(M136))*SIN(RADIANS(F136))-SIN(RADIANS(M136))*COS(RADIANS(F136))*COS(RADIANS(G136-N136)),SIN(RADIANS(G136-N136))*COS(RADIANS(F136))))+360,360),"N/A")</f>
        <v>N/A</v>
      </c>
      <c r="AN136" s="2"/>
      <c r="AO136" s="2"/>
    </row>
    <row r="137" spans="1:41" x14ac:dyDescent="0.2">
      <c r="A137" s="4" t="s">
        <v>1170</v>
      </c>
      <c r="B137" s="4" t="s">
        <v>680</v>
      </c>
      <c r="C137" s="5" t="s">
        <v>340</v>
      </c>
      <c r="D137" s="4" t="s">
        <v>70</v>
      </c>
      <c r="E137" s="4" t="s">
        <v>73</v>
      </c>
      <c r="F137" s="6">
        <v>34.128</v>
      </c>
      <c r="G137" s="6">
        <v>29.530999999999999</v>
      </c>
      <c r="H137" s="7">
        <v>-3116</v>
      </c>
      <c r="I137" s="4" t="s">
        <v>1214</v>
      </c>
      <c r="J137" s="4" t="s">
        <v>241</v>
      </c>
      <c r="K137" s="6">
        <v>36.404000000000003</v>
      </c>
      <c r="L137" s="6">
        <v>25.396000000000001</v>
      </c>
      <c r="M137" s="5" t="s">
        <v>340</v>
      </c>
      <c r="N137" s="5" t="s">
        <v>340</v>
      </c>
      <c r="O137" s="4" t="s">
        <v>387</v>
      </c>
      <c r="P137" s="5" t="s">
        <v>340</v>
      </c>
      <c r="Q137" s="5" t="s">
        <v>340</v>
      </c>
      <c r="R137" s="4" t="s">
        <v>673</v>
      </c>
      <c r="T137" s="7">
        <v>3510</v>
      </c>
      <c r="U137" s="7">
        <v>3535</v>
      </c>
      <c r="V137" s="7">
        <v>3559</v>
      </c>
      <c r="W137" s="21" t="s">
        <v>935</v>
      </c>
      <c r="X137" s="21" t="s">
        <v>852</v>
      </c>
      <c r="Y137" s="7" t="s">
        <v>340</v>
      </c>
      <c r="Z137" s="7" t="s">
        <v>340</v>
      </c>
      <c r="AA137" s="7" t="s">
        <v>340</v>
      </c>
      <c r="AB137" s="7" t="s">
        <v>340</v>
      </c>
      <c r="AC137" s="7" t="s">
        <v>340</v>
      </c>
      <c r="AD137" s="7" t="s">
        <v>340</v>
      </c>
      <c r="AE137" s="7">
        <v>3535</v>
      </c>
      <c r="AF137" s="7">
        <v>25</v>
      </c>
      <c r="AG137" s="7" t="s">
        <v>340</v>
      </c>
      <c r="AH137" s="5">
        <v>1</v>
      </c>
      <c r="AI137" s="5">
        <v>1</v>
      </c>
      <c r="AJ137" s="9">
        <f>IF(AND(ISNUMBER(F137),ISNUMBER(G137),ISNUMBER(K137),ISNUMBER(L137)),ACOS(MIN(1,COS(RADIANS(90-F137))*COS(RADIANS(90-K137))+SIN(RADIANS(90-F137))*SIN(RADIANS(90-K137))*COS(RADIANS(G137-L137))))*6371,"N/A")</f>
        <v>452.67592499579479</v>
      </c>
      <c r="AK137" s="10">
        <f>IF(AND(ISNUMBER(F137),ISNUMBER(G137),ISNUMBER(K137),ISNUMBER(L137)),MOD(DEGREES(ATAN2(COS(RADIANS(K137))*SIN(RADIANS(F137))-SIN(RADIANS(K137))*COS(RADIANS(F137))*COS(RADIANS(G137-L137)),SIN(RADIANS(G137-L137))*COS(RADIANS(F137))))+360,360),"N/A")</f>
        <v>122.77796613409134</v>
      </c>
      <c r="AL137" s="10" t="str">
        <f>IF(AND(ISNUMBER(F137),ISNUMBER(G137),ISNUMBER(M137),ISNUMBER(N137)),ACOS(MIN(1,COS(RADIANS(90-F137))*COS(RADIANS(90-M137))+SIN(RADIANS(90-F137))*SIN(RADIANS(90-M137))*COS(RADIANS(G137-N137))))*6371,"N/A")</f>
        <v>N/A</v>
      </c>
      <c r="AM137" s="10" t="str">
        <f>IF(AND(ISNUMBER(F137),ISNUMBER(G137),ISNUMBER(M137),ISNUMBER(N137)),MOD(DEGREES(ATAN2(COS(RADIANS(M137))*SIN(RADIANS(F137))-SIN(RADIANS(M137))*COS(RADIANS(F137))*COS(RADIANS(G137-N137)),SIN(RADIANS(G137-N137))*COS(RADIANS(F137))))+360,360),"N/A")</f>
        <v>N/A</v>
      </c>
      <c r="AN137" s="2"/>
      <c r="AO137" s="2"/>
    </row>
    <row r="138" spans="1:41" x14ac:dyDescent="0.2">
      <c r="A138" s="4" t="s">
        <v>1171</v>
      </c>
      <c r="B138" s="14" t="s">
        <v>681</v>
      </c>
      <c r="C138" s="5" t="s">
        <v>340</v>
      </c>
      <c r="D138" s="4" t="s">
        <v>70</v>
      </c>
      <c r="E138" s="4" t="s">
        <v>73</v>
      </c>
      <c r="F138" s="6">
        <v>34.627000000000002</v>
      </c>
      <c r="G138" s="6">
        <v>28.315999999999999</v>
      </c>
      <c r="H138" s="7">
        <v>-2354</v>
      </c>
      <c r="I138" s="4" t="s">
        <v>1214</v>
      </c>
      <c r="J138" s="4" t="s">
        <v>241</v>
      </c>
      <c r="K138" s="6">
        <v>36.404000000000003</v>
      </c>
      <c r="L138" s="6">
        <v>25.396000000000001</v>
      </c>
      <c r="M138" s="5" t="s">
        <v>340</v>
      </c>
      <c r="N138" s="5" t="s">
        <v>340</v>
      </c>
      <c r="O138" s="4" t="s">
        <v>387</v>
      </c>
      <c r="P138" s="5" t="s">
        <v>340</v>
      </c>
      <c r="Q138" s="5" t="s">
        <v>340</v>
      </c>
      <c r="R138" s="4" t="s">
        <v>673</v>
      </c>
      <c r="T138" s="7">
        <v>3510</v>
      </c>
      <c r="U138" s="7">
        <v>3535</v>
      </c>
      <c r="V138" s="7">
        <v>3559</v>
      </c>
      <c r="W138" s="21" t="s">
        <v>935</v>
      </c>
      <c r="X138" s="21" t="s">
        <v>852</v>
      </c>
      <c r="Y138" s="7" t="s">
        <v>340</v>
      </c>
      <c r="Z138" s="7" t="s">
        <v>340</v>
      </c>
      <c r="AA138" s="7" t="s">
        <v>340</v>
      </c>
      <c r="AB138" s="7" t="s">
        <v>340</v>
      </c>
      <c r="AC138" s="7" t="s">
        <v>340</v>
      </c>
      <c r="AD138" s="7" t="s">
        <v>340</v>
      </c>
      <c r="AE138" s="7">
        <v>3535</v>
      </c>
      <c r="AF138" s="7">
        <v>25</v>
      </c>
      <c r="AG138" s="7" t="s">
        <v>340</v>
      </c>
      <c r="AH138" s="5">
        <v>1</v>
      </c>
      <c r="AI138" s="5">
        <v>1</v>
      </c>
      <c r="AJ138" s="9">
        <f>IF(AND(ISNUMBER(F138),ISNUMBER(G138),ISNUMBER(K138),ISNUMBER(L138)),ACOS(MIN(1,COS(RADIANS(90-F138))*COS(RADIANS(90-K138))+SIN(RADIANS(90-F138))*SIN(RADIANS(90-K138))*COS(RADIANS(G138-L138))))*6371,"N/A")</f>
        <v>329.95401186353348</v>
      </c>
      <c r="AK138" s="10">
        <f>IF(AND(ISNUMBER(F138),ISNUMBER(G138),ISNUMBER(K138),ISNUMBER(L138)),MOD(DEGREES(ATAN2(COS(RADIANS(K138))*SIN(RADIANS(F138))-SIN(RADIANS(K138))*COS(RADIANS(F138))*COS(RADIANS(G138-L138)),SIN(RADIANS(G138-L138))*COS(RADIANS(F138))))+360,360),"N/A")</f>
        <v>125.92846199324327</v>
      </c>
      <c r="AL138" s="10" t="str">
        <f>IF(AND(ISNUMBER(F138),ISNUMBER(G138),ISNUMBER(M138),ISNUMBER(N138)),ACOS(MIN(1,COS(RADIANS(90-F138))*COS(RADIANS(90-M138))+SIN(RADIANS(90-F138))*SIN(RADIANS(90-M138))*COS(RADIANS(G138-N138))))*6371,"N/A")</f>
        <v>N/A</v>
      </c>
      <c r="AM138" s="10" t="str">
        <f>IF(AND(ISNUMBER(F138),ISNUMBER(G138),ISNUMBER(M138),ISNUMBER(N138)),MOD(DEGREES(ATAN2(COS(RADIANS(M138))*SIN(RADIANS(F138))-SIN(RADIANS(M138))*COS(RADIANS(F138))*COS(RADIANS(G138-N138)),SIN(RADIANS(G138-N138))*COS(RADIANS(F138))))+360,360),"N/A")</f>
        <v>N/A</v>
      </c>
      <c r="AN138" s="2"/>
      <c r="AO138" s="2"/>
    </row>
    <row r="139" spans="1:41" x14ac:dyDescent="0.2">
      <c r="A139" s="4" t="s">
        <v>1172</v>
      </c>
      <c r="B139" s="14" t="s">
        <v>682</v>
      </c>
      <c r="C139" s="5" t="s">
        <v>340</v>
      </c>
      <c r="D139" s="4" t="s">
        <v>70</v>
      </c>
      <c r="E139" s="4" t="s">
        <v>73</v>
      </c>
      <c r="F139" s="6">
        <v>35.798000000000002</v>
      </c>
      <c r="G139" s="6">
        <v>25.631</v>
      </c>
      <c r="H139" s="7" t="s">
        <v>340</v>
      </c>
      <c r="I139" s="4" t="s">
        <v>1214</v>
      </c>
      <c r="J139" s="4" t="s">
        <v>241</v>
      </c>
      <c r="K139" s="6">
        <v>36.404000000000003</v>
      </c>
      <c r="L139" s="6">
        <v>25.396000000000001</v>
      </c>
      <c r="M139" s="5" t="s">
        <v>340</v>
      </c>
      <c r="N139" s="5" t="s">
        <v>340</v>
      </c>
      <c r="O139" s="4" t="s">
        <v>387</v>
      </c>
      <c r="P139" s="5" t="s">
        <v>340</v>
      </c>
      <c r="Q139" s="5" t="s">
        <v>340</v>
      </c>
      <c r="R139" s="4" t="s">
        <v>673</v>
      </c>
      <c r="T139" s="7">
        <v>3510</v>
      </c>
      <c r="U139" s="7">
        <v>3535</v>
      </c>
      <c r="V139" s="7">
        <v>3559</v>
      </c>
      <c r="W139" s="21" t="s">
        <v>935</v>
      </c>
      <c r="X139" s="21" t="s">
        <v>852</v>
      </c>
      <c r="Y139" s="7" t="s">
        <v>340</v>
      </c>
      <c r="Z139" s="7" t="s">
        <v>340</v>
      </c>
      <c r="AA139" s="7" t="s">
        <v>340</v>
      </c>
      <c r="AB139" s="7" t="s">
        <v>340</v>
      </c>
      <c r="AC139" s="7" t="s">
        <v>340</v>
      </c>
      <c r="AD139" s="7" t="s">
        <v>340</v>
      </c>
      <c r="AE139" s="7">
        <v>3535</v>
      </c>
      <c r="AF139" s="7">
        <v>25</v>
      </c>
      <c r="AG139" s="7" t="s">
        <v>340</v>
      </c>
      <c r="AH139" s="5">
        <v>1</v>
      </c>
      <c r="AI139" s="5">
        <v>1</v>
      </c>
      <c r="AJ139" s="9">
        <f>IF(AND(ISNUMBER(F139),ISNUMBER(G139),ISNUMBER(K139),ISNUMBER(L139)),ACOS(MIN(1,COS(RADIANS(90-F139))*COS(RADIANS(90-K139))+SIN(RADIANS(90-F139))*SIN(RADIANS(90-K139))*COS(RADIANS(G139-L139))))*6371,"N/A")</f>
        <v>70.614268263271853</v>
      </c>
      <c r="AK139" s="10">
        <f>IF(AND(ISNUMBER(F139),ISNUMBER(G139),ISNUMBER(K139),ISNUMBER(L139)),MOD(DEGREES(ATAN2(COS(RADIANS(K139))*SIN(RADIANS(F139))-SIN(RADIANS(K139))*COS(RADIANS(F139))*COS(RADIANS(G139-L139)),SIN(RADIANS(G139-L139))*COS(RADIANS(F139))))+360,360),"N/A")</f>
        <v>162.53356747249973</v>
      </c>
      <c r="AL139" s="10" t="str">
        <f>IF(AND(ISNUMBER(F139),ISNUMBER(G139),ISNUMBER(M139),ISNUMBER(N139)),ACOS(MIN(1,COS(RADIANS(90-F139))*COS(RADIANS(90-M139))+SIN(RADIANS(90-F139))*SIN(RADIANS(90-M139))*COS(RADIANS(G139-N139))))*6371,"N/A")</f>
        <v>N/A</v>
      </c>
      <c r="AM139" s="10" t="str">
        <f>IF(AND(ISNUMBER(F139),ISNUMBER(G139),ISNUMBER(M139),ISNUMBER(N139)),MOD(DEGREES(ATAN2(COS(RADIANS(M139))*SIN(RADIANS(F139))-SIN(RADIANS(M139))*COS(RADIANS(F139))*COS(RADIANS(G139-N139)),SIN(RADIANS(G139-N139))*COS(RADIANS(F139))))+360,360),"N/A")</f>
        <v>N/A</v>
      </c>
      <c r="AN139" s="2"/>
      <c r="AO139" s="2"/>
    </row>
    <row r="140" spans="1:41" x14ac:dyDescent="0.2">
      <c r="A140" s="4" t="s">
        <v>1173</v>
      </c>
      <c r="B140" s="14" t="s">
        <v>684</v>
      </c>
      <c r="C140" s="5" t="s">
        <v>340</v>
      </c>
      <c r="D140" s="4" t="s">
        <v>70</v>
      </c>
      <c r="E140" s="4" t="s">
        <v>73</v>
      </c>
      <c r="F140" s="6">
        <v>35.177</v>
      </c>
      <c r="G140" s="6">
        <v>29.734999999999999</v>
      </c>
      <c r="H140" s="7">
        <v>-2650</v>
      </c>
      <c r="I140" s="4" t="s">
        <v>1214</v>
      </c>
      <c r="J140" s="4" t="s">
        <v>241</v>
      </c>
      <c r="K140" s="6">
        <v>36.404000000000003</v>
      </c>
      <c r="L140" s="6">
        <v>25.396000000000001</v>
      </c>
      <c r="M140" s="5" t="s">
        <v>340</v>
      </c>
      <c r="N140" s="5" t="s">
        <v>340</v>
      </c>
      <c r="O140" s="4" t="s">
        <v>387</v>
      </c>
      <c r="P140" s="5" t="s">
        <v>340</v>
      </c>
      <c r="Q140" s="5" t="s">
        <v>340</v>
      </c>
      <c r="R140" s="4" t="s">
        <v>673</v>
      </c>
      <c r="T140" s="7">
        <v>3510</v>
      </c>
      <c r="U140" s="7">
        <v>3535</v>
      </c>
      <c r="V140" s="7">
        <v>3559</v>
      </c>
      <c r="W140" s="21" t="s">
        <v>935</v>
      </c>
      <c r="X140" s="21" t="s">
        <v>852</v>
      </c>
      <c r="Y140" s="7" t="s">
        <v>340</v>
      </c>
      <c r="Z140" s="7" t="s">
        <v>340</v>
      </c>
      <c r="AA140" s="7" t="s">
        <v>340</v>
      </c>
      <c r="AB140" s="7" t="s">
        <v>340</v>
      </c>
      <c r="AC140" s="7" t="s">
        <v>340</v>
      </c>
      <c r="AD140" s="7" t="s">
        <v>340</v>
      </c>
      <c r="AE140" s="7">
        <v>3535</v>
      </c>
      <c r="AF140" s="7">
        <v>25</v>
      </c>
      <c r="AG140" s="7" t="s">
        <v>340</v>
      </c>
      <c r="AH140" s="5">
        <v>1</v>
      </c>
      <c r="AI140" s="5">
        <v>1</v>
      </c>
      <c r="AJ140" s="9">
        <f>IF(AND(ISNUMBER(F140),ISNUMBER(G140),ISNUMBER(K140),ISNUMBER(L140)),ACOS(MIN(1,COS(RADIANS(90-F140))*COS(RADIANS(90-K140))+SIN(RADIANS(90-F140))*SIN(RADIANS(90-K140))*COS(RADIANS(G140-L140))))*6371,"N/A")</f>
        <v>414.41655232526568</v>
      </c>
      <c r="AK140" s="10">
        <f>IF(AND(ISNUMBER(F140),ISNUMBER(G140),ISNUMBER(K140),ISNUMBER(L140)),MOD(DEGREES(ATAN2(COS(RADIANS(K140))*SIN(RADIANS(F140))-SIN(RADIANS(K140))*COS(RADIANS(F140))*COS(RADIANS(G140-L140)),SIN(RADIANS(G140-L140))*COS(RADIANS(F140))))+360,360),"N/A")</f>
        <v>107.94129984084532</v>
      </c>
      <c r="AL140" s="10" t="str">
        <f>IF(AND(ISNUMBER(F140),ISNUMBER(G140),ISNUMBER(M140),ISNUMBER(N140)),ACOS(MIN(1,COS(RADIANS(90-F140))*COS(RADIANS(90-M140))+SIN(RADIANS(90-F140))*SIN(RADIANS(90-M140))*COS(RADIANS(G140-N140))))*6371,"N/A")</f>
        <v>N/A</v>
      </c>
      <c r="AM140" s="10" t="str">
        <f>IF(AND(ISNUMBER(F140),ISNUMBER(G140),ISNUMBER(M140),ISNUMBER(N140)),MOD(DEGREES(ATAN2(COS(RADIANS(M140))*SIN(RADIANS(F140))-SIN(RADIANS(M140))*COS(RADIANS(F140))*COS(RADIANS(G140-N140)),SIN(RADIANS(G140-N140))*COS(RADIANS(F140))))+360,360),"N/A")</f>
        <v>N/A</v>
      </c>
      <c r="AN140" s="2"/>
      <c r="AO140" s="2"/>
    </row>
    <row r="141" spans="1:41" x14ac:dyDescent="0.2">
      <c r="A141" s="4" t="s">
        <v>1174</v>
      </c>
      <c r="B141" s="14" t="s">
        <v>135</v>
      </c>
      <c r="C141" s="5" t="s">
        <v>340</v>
      </c>
      <c r="D141" s="4" t="s">
        <v>70</v>
      </c>
      <c r="E141" s="4" t="s">
        <v>73</v>
      </c>
      <c r="F141" s="45">
        <v>34.097000000000001</v>
      </c>
      <c r="G141" s="45">
        <v>21.361999999999998</v>
      </c>
      <c r="H141" s="7">
        <v>-3150</v>
      </c>
      <c r="I141" s="4" t="s">
        <v>1214</v>
      </c>
      <c r="J141" s="4" t="s">
        <v>241</v>
      </c>
      <c r="K141" s="6">
        <v>36.404000000000003</v>
      </c>
      <c r="L141" s="6">
        <v>25.396000000000001</v>
      </c>
      <c r="M141" s="5" t="s">
        <v>340</v>
      </c>
      <c r="N141" s="5" t="s">
        <v>340</v>
      </c>
      <c r="O141" s="4" t="s">
        <v>387</v>
      </c>
      <c r="P141" s="5" t="s">
        <v>340</v>
      </c>
      <c r="Q141" s="5" t="s">
        <v>340</v>
      </c>
      <c r="R141" s="4" t="s">
        <v>673</v>
      </c>
      <c r="T141" s="7">
        <v>3510</v>
      </c>
      <c r="U141" s="7">
        <v>3535</v>
      </c>
      <c r="V141" s="7">
        <v>3559</v>
      </c>
      <c r="W141" s="21" t="s">
        <v>935</v>
      </c>
      <c r="X141" s="21" t="s">
        <v>852</v>
      </c>
      <c r="Y141" s="7" t="s">
        <v>340</v>
      </c>
      <c r="Z141" s="7" t="s">
        <v>340</v>
      </c>
      <c r="AA141" s="7" t="s">
        <v>340</v>
      </c>
      <c r="AB141" s="7" t="s">
        <v>340</v>
      </c>
      <c r="AC141" s="7" t="s">
        <v>340</v>
      </c>
      <c r="AD141" s="7" t="s">
        <v>340</v>
      </c>
      <c r="AE141" s="7">
        <v>3535</v>
      </c>
      <c r="AF141" s="7">
        <v>25</v>
      </c>
      <c r="AG141" s="7" t="s">
        <v>340</v>
      </c>
      <c r="AH141" s="5">
        <v>1</v>
      </c>
      <c r="AI141" s="5">
        <v>1</v>
      </c>
      <c r="AJ141" s="9">
        <f>IF(AND(ISNUMBER(F141),ISNUMBER(G141),ISNUMBER(K141),ISNUMBER(L141)),ACOS(MIN(1,COS(RADIANS(90-F141))*COS(RADIANS(90-K141))+SIN(RADIANS(90-F141))*SIN(RADIANS(90-K141))*COS(RADIANS(G141-L141))))*6371,"N/A")</f>
        <v>447.13056426504903</v>
      </c>
      <c r="AK141" s="10">
        <f>IF(AND(ISNUMBER(F141),ISNUMBER(G141),ISNUMBER(K141),ISNUMBER(L141)),MOD(DEGREES(ATAN2(COS(RADIANS(K141))*SIN(RADIANS(F141))-SIN(RADIANS(K141))*COS(RADIANS(F141))*COS(RADIANS(G141-L141)),SIN(RADIANS(G141-L141))*COS(RADIANS(F141))))+360,360),"N/A")</f>
        <v>236.17413586147973</v>
      </c>
      <c r="AL141" s="10" t="str">
        <f>IF(AND(ISNUMBER(F141),ISNUMBER(G141),ISNUMBER(M141),ISNUMBER(N141)),ACOS(MIN(1,COS(RADIANS(90-F141))*COS(RADIANS(90-M141))+SIN(RADIANS(90-F141))*SIN(RADIANS(90-M141))*COS(RADIANS(G141-N141))))*6371,"N/A")</f>
        <v>N/A</v>
      </c>
      <c r="AM141" s="10" t="str">
        <f>IF(AND(ISNUMBER(F141),ISNUMBER(G141),ISNUMBER(M141),ISNUMBER(N141)),MOD(DEGREES(ATAN2(COS(RADIANS(M141))*SIN(RADIANS(F141))-SIN(RADIANS(M141))*COS(RADIANS(F141))*COS(RADIANS(G141-N141)),SIN(RADIANS(G141-N141))*COS(RADIANS(F141))))+360,360),"N/A")</f>
        <v>N/A</v>
      </c>
      <c r="AN141" s="2"/>
      <c r="AO141" s="2"/>
    </row>
    <row r="142" spans="1:41" x14ac:dyDescent="0.2">
      <c r="A142" s="4" t="s">
        <v>1175</v>
      </c>
      <c r="B142" s="14" t="s">
        <v>685</v>
      </c>
      <c r="C142" s="5" t="s">
        <v>340</v>
      </c>
      <c r="D142" s="4" t="s">
        <v>70</v>
      </c>
      <c r="E142" s="4" t="s">
        <v>73</v>
      </c>
      <c r="F142" s="6">
        <v>34.722999999999999</v>
      </c>
      <c r="G142" s="6">
        <v>28.791</v>
      </c>
      <c r="H142" s="7" t="s">
        <v>340</v>
      </c>
      <c r="I142" s="4" t="s">
        <v>1214</v>
      </c>
      <c r="J142" s="4" t="s">
        <v>241</v>
      </c>
      <c r="K142" s="6">
        <v>36.404000000000003</v>
      </c>
      <c r="L142" s="6">
        <v>25.396000000000001</v>
      </c>
      <c r="M142" s="5" t="s">
        <v>340</v>
      </c>
      <c r="N142" s="5" t="s">
        <v>340</v>
      </c>
      <c r="O142" s="4" t="s">
        <v>387</v>
      </c>
      <c r="P142" s="5" t="s">
        <v>340</v>
      </c>
      <c r="Q142" s="5" t="s">
        <v>340</v>
      </c>
      <c r="R142" s="4" t="s">
        <v>673</v>
      </c>
      <c r="T142" s="7">
        <v>3510</v>
      </c>
      <c r="U142" s="7">
        <v>3535</v>
      </c>
      <c r="V142" s="7">
        <v>3559</v>
      </c>
      <c r="W142" s="21" t="s">
        <v>935</v>
      </c>
      <c r="X142" s="21" t="s">
        <v>852</v>
      </c>
      <c r="Y142" s="7" t="s">
        <v>340</v>
      </c>
      <c r="Z142" s="7" t="s">
        <v>340</v>
      </c>
      <c r="AA142" s="7" t="s">
        <v>340</v>
      </c>
      <c r="AB142" s="7" t="s">
        <v>340</v>
      </c>
      <c r="AC142" s="7" t="s">
        <v>340</v>
      </c>
      <c r="AD142" s="7" t="s">
        <v>340</v>
      </c>
      <c r="AE142" s="7">
        <v>3535</v>
      </c>
      <c r="AF142" s="7">
        <v>25</v>
      </c>
      <c r="AG142" s="7" t="s">
        <v>340</v>
      </c>
      <c r="AH142" s="5">
        <v>1</v>
      </c>
      <c r="AI142" s="5">
        <v>1</v>
      </c>
      <c r="AJ142" s="9">
        <f>IF(AND(ISNUMBER(F142),ISNUMBER(G142),ISNUMBER(K142),ISNUMBER(L142)),ACOS(MIN(1,COS(RADIANS(90-F142))*COS(RADIANS(90-K142))+SIN(RADIANS(90-F142))*SIN(RADIANS(90-K142))*COS(RADIANS(G142-L142))))*6371,"N/A")</f>
        <v>359.4676396212995</v>
      </c>
      <c r="AK142" s="10">
        <f>IF(AND(ISNUMBER(F142),ISNUMBER(G142),ISNUMBER(K142),ISNUMBER(L142)),MOD(DEGREES(ATAN2(COS(RADIANS(K142))*SIN(RADIANS(F142))-SIN(RADIANS(K142))*COS(RADIANS(F142))*COS(RADIANS(G142-L142)),SIN(RADIANS(G142-L142))*COS(RADIANS(F142))))+360,360),"N/A")</f>
        <v>120.33190840217469</v>
      </c>
      <c r="AL142" s="10" t="str">
        <f>IF(AND(ISNUMBER(F142),ISNUMBER(G142),ISNUMBER(M142),ISNUMBER(N142)),ACOS(MIN(1,COS(RADIANS(90-F142))*COS(RADIANS(90-M142))+SIN(RADIANS(90-F142))*SIN(RADIANS(90-M142))*COS(RADIANS(G142-N142))))*6371,"N/A")</f>
        <v>N/A</v>
      </c>
      <c r="AM142" s="10" t="str">
        <f>IF(AND(ISNUMBER(F142),ISNUMBER(G142),ISNUMBER(M142),ISNUMBER(N142)),MOD(DEGREES(ATAN2(COS(RADIANS(M142))*SIN(RADIANS(F142))-SIN(RADIANS(M142))*COS(RADIANS(F142))*COS(RADIANS(G142-N142)),SIN(RADIANS(G142-N142))*COS(RADIANS(F142))))+360,360),"N/A")</f>
        <v>N/A</v>
      </c>
      <c r="AN142" s="2"/>
      <c r="AO142" s="2"/>
    </row>
    <row r="143" spans="1:41" x14ac:dyDescent="0.2">
      <c r="A143" s="4" t="s">
        <v>1176</v>
      </c>
      <c r="B143" s="14" t="s">
        <v>686</v>
      </c>
      <c r="C143" s="5" t="s">
        <v>340</v>
      </c>
      <c r="D143" s="4" t="s">
        <v>70</v>
      </c>
      <c r="E143" s="4" t="s">
        <v>73</v>
      </c>
      <c r="F143" s="6">
        <v>34.838999999999999</v>
      </c>
      <c r="G143" s="6">
        <v>28.443000000000001</v>
      </c>
      <c r="H143" s="7">
        <v>-2600</v>
      </c>
      <c r="I143" s="4" t="s">
        <v>1214</v>
      </c>
      <c r="J143" s="4" t="s">
        <v>241</v>
      </c>
      <c r="K143" s="6">
        <v>36.404000000000003</v>
      </c>
      <c r="L143" s="6">
        <v>25.396000000000001</v>
      </c>
      <c r="M143" s="5" t="s">
        <v>340</v>
      </c>
      <c r="N143" s="5" t="s">
        <v>340</v>
      </c>
      <c r="O143" s="4" t="s">
        <v>387</v>
      </c>
      <c r="P143" s="5" t="s">
        <v>340</v>
      </c>
      <c r="Q143" s="5" t="s">
        <v>340</v>
      </c>
      <c r="R143" s="4" t="s">
        <v>673</v>
      </c>
      <c r="T143" s="7">
        <v>3510</v>
      </c>
      <c r="U143" s="7">
        <v>3535</v>
      </c>
      <c r="V143" s="7">
        <v>3559</v>
      </c>
      <c r="W143" s="21" t="s">
        <v>935</v>
      </c>
      <c r="X143" s="21" t="s">
        <v>852</v>
      </c>
      <c r="Y143" s="7" t="s">
        <v>340</v>
      </c>
      <c r="Z143" s="7" t="s">
        <v>340</v>
      </c>
      <c r="AA143" s="7" t="s">
        <v>340</v>
      </c>
      <c r="AB143" s="7" t="s">
        <v>340</v>
      </c>
      <c r="AC143" s="7" t="s">
        <v>340</v>
      </c>
      <c r="AD143" s="7" t="s">
        <v>340</v>
      </c>
      <c r="AE143" s="7">
        <v>3535</v>
      </c>
      <c r="AF143" s="7">
        <v>25</v>
      </c>
      <c r="AG143" s="7" t="s">
        <v>340</v>
      </c>
      <c r="AH143" s="5">
        <v>1</v>
      </c>
      <c r="AI143" s="5">
        <v>1</v>
      </c>
      <c r="AJ143" s="9">
        <f>IF(AND(ISNUMBER(F143),ISNUMBER(G143),ISNUMBER(K143),ISNUMBER(L143)),ACOS(MIN(1,COS(RADIANS(90-F143))*COS(RADIANS(90-K143))+SIN(RADIANS(90-F143))*SIN(RADIANS(90-K143))*COS(RADIANS(G143-L143))))*6371,"N/A")</f>
        <v>325.75678067998797</v>
      </c>
      <c r="AK143" s="10">
        <f>IF(AND(ISNUMBER(F143),ISNUMBER(G143),ISNUMBER(K143),ISNUMBER(L143)),MOD(DEGREES(ATAN2(COS(RADIANS(K143))*SIN(RADIANS(F143))-SIN(RADIANS(K143))*COS(RADIANS(F143))*COS(RADIANS(G143-L143)),SIN(RADIANS(G143-L143))*COS(RADIANS(F143))))+360,360),"N/A")</f>
        <v>121.39230691085538</v>
      </c>
      <c r="AL143" s="10" t="str">
        <f>IF(AND(ISNUMBER(F143),ISNUMBER(G143),ISNUMBER(M143),ISNUMBER(N143)),ACOS(MIN(1,COS(RADIANS(90-F143))*COS(RADIANS(90-M143))+SIN(RADIANS(90-F143))*SIN(RADIANS(90-M143))*COS(RADIANS(G143-N143))))*6371,"N/A")</f>
        <v>N/A</v>
      </c>
      <c r="AM143" s="10" t="str">
        <f>IF(AND(ISNUMBER(F143),ISNUMBER(G143),ISNUMBER(M143),ISNUMBER(N143)),MOD(DEGREES(ATAN2(COS(RADIANS(M143))*SIN(RADIANS(F143))-SIN(RADIANS(M143))*COS(RADIANS(F143))*COS(RADIANS(G143-N143)),SIN(RADIANS(G143-N143))*COS(RADIANS(F143))))+360,360),"N/A")</f>
        <v>N/A</v>
      </c>
      <c r="AN143" s="2"/>
      <c r="AO143" s="2"/>
    </row>
    <row r="144" spans="1:41" x14ac:dyDescent="0.2">
      <c r="A144" s="4" t="s">
        <v>1177</v>
      </c>
      <c r="B144" s="14" t="s">
        <v>687</v>
      </c>
      <c r="C144" s="5" t="s">
        <v>340</v>
      </c>
      <c r="D144" s="4" t="s">
        <v>70</v>
      </c>
      <c r="E144" s="4" t="s">
        <v>73</v>
      </c>
      <c r="F144" s="6">
        <v>36.07</v>
      </c>
      <c r="G144" s="6">
        <v>27.335999999999999</v>
      </c>
      <c r="H144" s="7" t="s">
        <v>340</v>
      </c>
      <c r="I144" s="4" t="s">
        <v>1214</v>
      </c>
      <c r="J144" s="4" t="s">
        <v>241</v>
      </c>
      <c r="K144" s="6">
        <v>36.404000000000003</v>
      </c>
      <c r="L144" s="6">
        <v>25.396000000000001</v>
      </c>
      <c r="M144" s="5" t="s">
        <v>340</v>
      </c>
      <c r="N144" s="5" t="s">
        <v>340</v>
      </c>
      <c r="O144" s="4" t="s">
        <v>387</v>
      </c>
      <c r="P144" s="5" t="s">
        <v>340</v>
      </c>
      <c r="Q144" s="5" t="s">
        <v>340</v>
      </c>
      <c r="R144" s="4" t="s">
        <v>673</v>
      </c>
      <c r="T144" s="7">
        <v>3510</v>
      </c>
      <c r="U144" s="7">
        <v>3535</v>
      </c>
      <c r="V144" s="7">
        <v>3559</v>
      </c>
      <c r="W144" s="21" t="s">
        <v>935</v>
      </c>
      <c r="X144" s="21" t="s">
        <v>852</v>
      </c>
      <c r="Y144" s="7" t="s">
        <v>340</v>
      </c>
      <c r="Z144" s="7" t="s">
        <v>340</v>
      </c>
      <c r="AA144" s="7" t="s">
        <v>340</v>
      </c>
      <c r="AB144" s="7" t="s">
        <v>340</v>
      </c>
      <c r="AC144" s="7" t="s">
        <v>340</v>
      </c>
      <c r="AD144" s="7" t="s">
        <v>340</v>
      </c>
      <c r="AE144" s="7">
        <v>3535</v>
      </c>
      <c r="AF144" s="7">
        <v>25</v>
      </c>
      <c r="AG144" s="7" t="s">
        <v>340</v>
      </c>
      <c r="AH144" s="5">
        <v>1</v>
      </c>
      <c r="AI144" s="5">
        <v>1</v>
      </c>
      <c r="AJ144" s="9">
        <f>IF(AND(ISNUMBER(F144),ISNUMBER(G144),ISNUMBER(K144),ISNUMBER(L144)),ACOS(MIN(1,COS(RADIANS(90-F144))*COS(RADIANS(90-K144))+SIN(RADIANS(90-F144))*SIN(RADIANS(90-K144))*COS(RADIANS(G144-L144))))*6371,"N/A")</f>
        <v>177.90975166487473</v>
      </c>
      <c r="AK144" s="10">
        <f>IF(AND(ISNUMBER(F144),ISNUMBER(G144),ISNUMBER(K144),ISNUMBER(L144)),MOD(DEGREES(ATAN2(COS(RADIANS(K144))*SIN(RADIANS(F144))-SIN(RADIANS(K144))*COS(RADIANS(F144))*COS(RADIANS(G144-L144)),SIN(RADIANS(G144-L144))*COS(RADIANS(F144))))+360,360),"N/A")</f>
        <v>101.47445206544955</v>
      </c>
      <c r="AL144" s="10" t="str">
        <f>IF(AND(ISNUMBER(F144),ISNUMBER(G144),ISNUMBER(M144),ISNUMBER(N144)),ACOS(MIN(1,COS(RADIANS(90-F144))*COS(RADIANS(90-M144))+SIN(RADIANS(90-F144))*SIN(RADIANS(90-M144))*COS(RADIANS(G144-N144))))*6371,"N/A")</f>
        <v>N/A</v>
      </c>
      <c r="AM144" s="10" t="str">
        <f>IF(AND(ISNUMBER(F144),ISNUMBER(G144),ISNUMBER(M144),ISNUMBER(N144)),MOD(DEGREES(ATAN2(COS(RADIANS(M144))*SIN(RADIANS(F144))-SIN(RADIANS(M144))*COS(RADIANS(F144))*COS(RADIANS(G144-N144)),SIN(RADIANS(G144-N144))*COS(RADIANS(F144))))+360,360),"N/A")</f>
        <v>N/A</v>
      </c>
      <c r="AN144" s="2"/>
      <c r="AO144" s="2"/>
    </row>
    <row r="145" spans="1:41" x14ac:dyDescent="0.2">
      <c r="A145" s="4" t="s">
        <v>1178</v>
      </c>
      <c r="B145" s="14" t="s">
        <v>688</v>
      </c>
      <c r="C145" s="5" t="s">
        <v>340</v>
      </c>
      <c r="D145" s="4" t="s">
        <v>70</v>
      </c>
      <c r="E145" s="4" t="s">
        <v>73</v>
      </c>
      <c r="F145" s="6">
        <v>35.988</v>
      </c>
      <c r="G145" s="6">
        <v>26.765000000000001</v>
      </c>
      <c r="H145" s="7" t="s">
        <v>340</v>
      </c>
      <c r="I145" s="4" t="s">
        <v>1214</v>
      </c>
      <c r="J145" s="4" t="s">
        <v>241</v>
      </c>
      <c r="K145" s="6">
        <v>36.404000000000003</v>
      </c>
      <c r="L145" s="6">
        <v>25.396000000000001</v>
      </c>
      <c r="M145" s="5" t="s">
        <v>340</v>
      </c>
      <c r="N145" s="5" t="s">
        <v>340</v>
      </c>
      <c r="O145" s="4" t="s">
        <v>387</v>
      </c>
      <c r="P145" s="5" t="s">
        <v>340</v>
      </c>
      <c r="Q145" s="5" t="s">
        <v>340</v>
      </c>
      <c r="R145" s="4" t="s">
        <v>673</v>
      </c>
      <c r="T145" s="7">
        <v>3510</v>
      </c>
      <c r="U145" s="7">
        <v>3535</v>
      </c>
      <c r="V145" s="7">
        <v>3559</v>
      </c>
      <c r="W145" s="21" t="s">
        <v>935</v>
      </c>
      <c r="X145" s="21" t="s">
        <v>852</v>
      </c>
      <c r="Y145" s="7" t="s">
        <v>340</v>
      </c>
      <c r="Z145" s="7" t="s">
        <v>340</v>
      </c>
      <c r="AA145" s="7" t="s">
        <v>340</v>
      </c>
      <c r="AB145" s="7" t="s">
        <v>340</v>
      </c>
      <c r="AC145" s="7" t="s">
        <v>340</v>
      </c>
      <c r="AD145" s="7" t="s">
        <v>340</v>
      </c>
      <c r="AE145" s="7">
        <v>3535</v>
      </c>
      <c r="AF145" s="7">
        <v>25</v>
      </c>
      <c r="AG145" s="7" t="s">
        <v>340</v>
      </c>
      <c r="AH145" s="5">
        <v>1</v>
      </c>
      <c r="AI145" s="5">
        <v>1</v>
      </c>
      <c r="AJ145" s="9">
        <f>IF(AND(ISNUMBER(F145),ISNUMBER(G145),ISNUMBER(K145),ISNUMBER(L145)),ACOS(MIN(1,COS(RADIANS(90-F145))*COS(RADIANS(90-K145))+SIN(RADIANS(90-F145))*SIN(RADIANS(90-K145))*COS(RADIANS(G145-L145))))*6371,"N/A")</f>
        <v>131.26521833406673</v>
      </c>
      <c r="AK145" s="10">
        <f>IF(AND(ISNUMBER(F145),ISNUMBER(G145),ISNUMBER(K145),ISNUMBER(L145)),MOD(DEGREES(ATAN2(COS(RADIANS(K145))*SIN(RADIANS(F145))-SIN(RADIANS(K145))*COS(RADIANS(F145))*COS(RADIANS(G145-L145)),SIN(RADIANS(G145-L145))*COS(RADIANS(F145))))+360,360),"N/A")</f>
        <v>110.22836792441649</v>
      </c>
      <c r="AL145" s="10" t="str">
        <f>IF(AND(ISNUMBER(F145),ISNUMBER(G145),ISNUMBER(M145),ISNUMBER(N145)),ACOS(MIN(1,COS(RADIANS(90-F145))*COS(RADIANS(90-M145))+SIN(RADIANS(90-F145))*SIN(RADIANS(90-M145))*COS(RADIANS(G145-N145))))*6371,"N/A")</f>
        <v>N/A</v>
      </c>
      <c r="AM145" s="10" t="str">
        <f>IF(AND(ISNUMBER(F145),ISNUMBER(G145),ISNUMBER(M145),ISNUMBER(N145)),MOD(DEGREES(ATAN2(COS(RADIANS(M145))*SIN(RADIANS(F145))-SIN(RADIANS(M145))*COS(RADIANS(F145))*COS(RADIANS(G145-N145)),SIN(RADIANS(G145-N145))*COS(RADIANS(F145))))+360,360),"N/A")</f>
        <v>N/A</v>
      </c>
      <c r="AN145" s="2"/>
      <c r="AO145" s="2"/>
    </row>
    <row r="146" spans="1:41" x14ac:dyDescent="0.2">
      <c r="A146" s="4" t="s">
        <v>1179</v>
      </c>
      <c r="B146" s="14" t="s">
        <v>689</v>
      </c>
      <c r="C146" s="5" t="s">
        <v>340</v>
      </c>
      <c r="D146" s="4" t="s">
        <v>70</v>
      </c>
      <c r="E146" s="4" t="s">
        <v>73</v>
      </c>
      <c r="F146" s="6">
        <v>35.921999999999997</v>
      </c>
      <c r="G146" s="6">
        <v>26.105</v>
      </c>
      <c r="H146" s="7" t="s">
        <v>340</v>
      </c>
      <c r="I146" s="4" t="s">
        <v>1214</v>
      </c>
      <c r="J146" s="4" t="s">
        <v>241</v>
      </c>
      <c r="K146" s="6">
        <v>36.404000000000003</v>
      </c>
      <c r="L146" s="6">
        <v>25.396000000000001</v>
      </c>
      <c r="M146" s="5" t="s">
        <v>340</v>
      </c>
      <c r="N146" s="5" t="s">
        <v>340</v>
      </c>
      <c r="O146" s="4" t="s">
        <v>387</v>
      </c>
      <c r="P146" s="5" t="s">
        <v>340</v>
      </c>
      <c r="Q146" s="5" t="s">
        <v>340</v>
      </c>
      <c r="R146" s="4" t="s">
        <v>673</v>
      </c>
      <c r="T146" s="7">
        <v>3510</v>
      </c>
      <c r="U146" s="7">
        <v>3535</v>
      </c>
      <c r="V146" s="7">
        <v>3559</v>
      </c>
      <c r="W146" s="21" t="s">
        <v>935</v>
      </c>
      <c r="X146" s="21" t="s">
        <v>852</v>
      </c>
      <c r="Y146" s="7" t="s">
        <v>340</v>
      </c>
      <c r="Z146" s="7" t="s">
        <v>340</v>
      </c>
      <c r="AA146" s="7" t="s">
        <v>340</v>
      </c>
      <c r="AB146" s="7" t="s">
        <v>340</v>
      </c>
      <c r="AC146" s="7" t="s">
        <v>340</v>
      </c>
      <c r="AD146" s="7" t="s">
        <v>340</v>
      </c>
      <c r="AE146" s="7">
        <v>3535</v>
      </c>
      <c r="AF146" s="7">
        <v>25</v>
      </c>
      <c r="AG146" s="7" t="s">
        <v>340</v>
      </c>
      <c r="AH146" s="5">
        <v>1</v>
      </c>
      <c r="AI146" s="5">
        <v>1</v>
      </c>
      <c r="AJ146" s="9">
        <f>IF(AND(ISNUMBER(F146),ISNUMBER(G146),ISNUMBER(K146),ISNUMBER(L146)),ACOS(MIN(1,COS(RADIANS(90-F146))*COS(RADIANS(90-K146))+SIN(RADIANS(90-F146))*SIN(RADIANS(90-K146))*COS(RADIANS(G146-L146))))*6371,"N/A")</f>
        <v>83.208076228650668</v>
      </c>
      <c r="AK146" s="10">
        <f>IF(AND(ISNUMBER(F146),ISNUMBER(G146),ISNUMBER(K146),ISNUMBER(L146)),MOD(DEGREES(ATAN2(COS(RADIANS(K146))*SIN(RADIANS(F146))-SIN(RADIANS(K146))*COS(RADIANS(F146))*COS(RADIANS(G146-L146)),SIN(RADIANS(G146-L146))*COS(RADIANS(F146))))+360,360),"N/A")</f>
        <v>129.88978847365593</v>
      </c>
      <c r="AL146" s="10" t="str">
        <f>IF(AND(ISNUMBER(F146),ISNUMBER(G146),ISNUMBER(M146),ISNUMBER(N146)),ACOS(MIN(1,COS(RADIANS(90-F146))*COS(RADIANS(90-M146))+SIN(RADIANS(90-F146))*SIN(RADIANS(90-M146))*COS(RADIANS(G146-N146))))*6371,"N/A")</f>
        <v>N/A</v>
      </c>
      <c r="AM146" s="10" t="str">
        <f>IF(AND(ISNUMBER(F146),ISNUMBER(G146),ISNUMBER(M146),ISNUMBER(N146)),MOD(DEGREES(ATAN2(COS(RADIANS(M146))*SIN(RADIANS(F146))-SIN(RADIANS(M146))*COS(RADIANS(F146))*COS(RADIANS(G146-N146)),SIN(RADIANS(G146-N146))*COS(RADIANS(F146))))+360,360),"N/A")</f>
        <v>N/A</v>
      </c>
      <c r="AN146" s="2"/>
      <c r="AO146" s="2"/>
    </row>
    <row r="147" spans="1:41" x14ac:dyDescent="0.2">
      <c r="A147" s="4" t="s">
        <v>1180</v>
      </c>
      <c r="B147" s="14" t="s">
        <v>690</v>
      </c>
      <c r="C147" s="5" t="s">
        <v>340</v>
      </c>
      <c r="D147" s="4" t="s">
        <v>70</v>
      </c>
      <c r="E147" s="4" t="s">
        <v>73</v>
      </c>
      <c r="F147" s="6">
        <v>35.853000000000002</v>
      </c>
      <c r="G147" s="6">
        <v>25.177</v>
      </c>
      <c r="H147" s="7" t="s">
        <v>340</v>
      </c>
      <c r="I147" s="4" t="s">
        <v>1214</v>
      </c>
      <c r="J147" s="4" t="s">
        <v>241</v>
      </c>
      <c r="K147" s="6">
        <v>36.404000000000003</v>
      </c>
      <c r="L147" s="6">
        <v>25.396000000000001</v>
      </c>
      <c r="M147" s="5" t="s">
        <v>340</v>
      </c>
      <c r="N147" s="5" t="s">
        <v>340</v>
      </c>
      <c r="O147" s="4" t="s">
        <v>387</v>
      </c>
      <c r="P147" s="5" t="s">
        <v>340</v>
      </c>
      <c r="Q147" s="5" t="s">
        <v>340</v>
      </c>
      <c r="R147" s="4" t="s">
        <v>673</v>
      </c>
      <c r="T147" s="7">
        <v>3510</v>
      </c>
      <c r="U147" s="7">
        <v>3535</v>
      </c>
      <c r="V147" s="7">
        <v>3559</v>
      </c>
      <c r="W147" s="21" t="s">
        <v>935</v>
      </c>
      <c r="X147" s="21" t="s">
        <v>852</v>
      </c>
      <c r="Y147" s="7" t="s">
        <v>340</v>
      </c>
      <c r="Z147" s="7" t="s">
        <v>340</v>
      </c>
      <c r="AA147" s="7" t="s">
        <v>340</v>
      </c>
      <c r="AB147" s="7" t="s">
        <v>340</v>
      </c>
      <c r="AC147" s="7" t="s">
        <v>340</v>
      </c>
      <c r="AD147" s="7" t="s">
        <v>340</v>
      </c>
      <c r="AE147" s="7">
        <v>3535</v>
      </c>
      <c r="AF147" s="7">
        <v>25</v>
      </c>
      <c r="AG147" s="7" t="s">
        <v>340</v>
      </c>
      <c r="AH147" s="5">
        <v>1</v>
      </c>
      <c r="AI147" s="5">
        <v>1</v>
      </c>
      <c r="AJ147" s="9">
        <f>IF(AND(ISNUMBER(F147),ISNUMBER(G147),ISNUMBER(K147),ISNUMBER(L147)),ACOS(MIN(1,COS(RADIANS(90-F147))*COS(RADIANS(90-K147))+SIN(RADIANS(90-F147))*SIN(RADIANS(90-K147))*COS(RADIANS(G147-L147))))*6371,"N/A")</f>
        <v>64.348040793869487</v>
      </c>
      <c r="AK147" s="10">
        <f>IF(AND(ISNUMBER(F147),ISNUMBER(G147),ISNUMBER(K147),ISNUMBER(L147)),MOD(DEGREES(ATAN2(COS(RADIANS(K147))*SIN(RADIANS(F147))-SIN(RADIANS(K147))*COS(RADIANS(F147))*COS(RADIANS(G147-L147)),SIN(RADIANS(G147-L147))*COS(RADIANS(F147))))+360,360),"N/A")</f>
        <v>197.86265090693425</v>
      </c>
      <c r="AL147" s="10" t="str">
        <f>IF(AND(ISNUMBER(F147),ISNUMBER(G147),ISNUMBER(M147),ISNUMBER(N147)),ACOS(MIN(1,COS(RADIANS(90-F147))*COS(RADIANS(90-M147))+SIN(RADIANS(90-F147))*SIN(RADIANS(90-M147))*COS(RADIANS(G147-N147))))*6371,"N/A")</f>
        <v>N/A</v>
      </c>
      <c r="AM147" s="10" t="str">
        <f>IF(AND(ISNUMBER(F147),ISNUMBER(G147),ISNUMBER(M147),ISNUMBER(N147)),MOD(DEGREES(ATAN2(COS(RADIANS(M147))*SIN(RADIANS(F147))-SIN(RADIANS(M147))*COS(RADIANS(F147))*COS(RADIANS(G147-N147)),SIN(RADIANS(G147-N147))*COS(RADIANS(F147))))+360,360),"N/A")</f>
        <v>N/A</v>
      </c>
      <c r="AN147" s="2"/>
      <c r="AO147" s="2"/>
    </row>
    <row r="148" spans="1:41" x14ac:dyDescent="0.2">
      <c r="A148" s="4" t="s">
        <v>1181</v>
      </c>
      <c r="B148" s="14" t="s">
        <v>691</v>
      </c>
      <c r="C148" s="5" t="s">
        <v>340</v>
      </c>
      <c r="D148" s="4" t="s">
        <v>70</v>
      </c>
      <c r="E148" s="4" t="s">
        <v>73</v>
      </c>
      <c r="F148" s="6">
        <v>35.659999999999997</v>
      </c>
      <c r="G148" s="6">
        <v>26.971</v>
      </c>
      <c r="H148" s="7" t="s">
        <v>340</v>
      </c>
      <c r="I148" s="4" t="s">
        <v>1214</v>
      </c>
      <c r="J148" s="4" t="s">
        <v>241</v>
      </c>
      <c r="K148" s="6">
        <v>36.404000000000003</v>
      </c>
      <c r="L148" s="6">
        <v>25.396000000000001</v>
      </c>
      <c r="M148" s="5" t="s">
        <v>340</v>
      </c>
      <c r="N148" s="5" t="s">
        <v>340</v>
      </c>
      <c r="O148" s="4" t="s">
        <v>387</v>
      </c>
      <c r="P148" s="5" t="s">
        <v>340</v>
      </c>
      <c r="Q148" s="5" t="s">
        <v>340</v>
      </c>
      <c r="R148" s="4" t="s">
        <v>673</v>
      </c>
      <c r="T148" s="7">
        <v>3510</v>
      </c>
      <c r="U148" s="7">
        <v>3535</v>
      </c>
      <c r="V148" s="7">
        <v>3559</v>
      </c>
      <c r="W148" s="21" t="s">
        <v>935</v>
      </c>
      <c r="X148" s="21" t="s">
        <v>852</v>
      </c>
      <c r="Y148" s="7" t="s">
        <v>340</v>
      </c>
      <c r="Z148" s="7" t="s">
        <v>340</v>
      </c>
      <c r="AA148" s="7" t="s">
        <v>340</v>
      </c>
      <c r="AB148" s="7" t="s">
        <v>340</v>
      </c>
      <c r="AC148" s="7" t="s">
        <v>340</v>
      </c>
      <c r="AD148" s="7" t="s">
        <v>340</v>
      </c>
      <c r="AE148" s="7">
        <v>3535</v>
      </c>
      <c r="AF148" s="7">
        <v>25</v>
      </c>
      <c r="AG148" s="7" t="s">
        <v>340</v>
      </c>
      <c r="AH148" s="5">
        <v>1</v>
      </c>
      <c r="AI148" s="5">
        <v>1</v>
      </c>
      <c r="AJ148" s="9">
        <f>IF(AND(ISNUMBER(F148),ISNUMBER(G148),ISNUMBER(K148),ISNUMBER(L148)),ACOS(MIN(1,COS(RADIANS(90-F148))*COS(RADIANS(90-K148))+SIN(RADIANS(90-F148))*SIN(RADIANS(90-K148))*COS(RADIANS(G148-L148))))*6371,"N/A")</f>
        <v>164.0158691774929</v>
      </c>
      <c r="AK148" s="10">
        <f>IF(AND(ISNUMBER(F148),ISNUMBER(G148),ISNUMBER(K148),ISNUMBER(L148)),MOD(DEGREES(ATAN2(COS(RADIANS(K148))*SIN(RADIANS(F148))-SIN(RADIANS(K148))*COS(RADIANS(F148))*COS(RADIANS(G148-L148)),SIN(RADIANS(G148-L148))*COS(RADIANS(F148))))+360,360),"N/A")</f>
        <v>119.8255591951995</v>
      </c>
      <c r="AL148" s="10" t="str">
        <f>IF(AND(ISNUMBER(F148),ISNUMBER(G148),ISNUMBER(M148),ISNUMBER(N148)),ACOS(MIN(1,COS(RADIANS(90-F148))*COS(RADIANS(90-M148))+SIN(RADIANS(90-F148))*SIN(RADIANS(90-M148))*COS(RADIANS(G148-N148))))*6371,"N/A")</f>
        <v>N/A</v>
      </c>
      <c r="AM148" s="10" t="str">
        <f>IF(AND(ISNUMBER(F148),ISNUMBER(G148),ISNUMBER(M148),ISNUMBER(N148)),MOD(DEGREES(ATAN2(COS(RADIANS(M148))*SIN(RADIANS(F148))-SIN(RADIANS(M148))*COS(RADIANS(F148))*COS(RADIANS(G148-N148)),SIN(RADIANS(G148-N148))*COS(RADIANS(F148))))+360,360),"N/A")</f>
        <v>N/A</v>
      </c>
      <c r="AN148" s="2"/>
      <c r="AO148" s="2"/>
    </row>
    <row r="149" spans="1:41" x14ac:dyDescent="0.2">
      <c r="A149" s="4" t="s">
        <v>1168</v>
      </c>
      <c r="B149" s="4" t="s">
        <v>678</v>
      </c>
      <c r="C149" s="5" t="s">
        <v>340</v>
      </c>
      <c r="D149" s="4" t="s">
        <v>70</v>
      </c>
      <c r="E149" s="4" t="s">
        <v>73</v>
      </c>
      <c r="F149" s="6">
        <v>35.392000000000003</v>
      </c>
      <c r="G149" s="6">
        <v>25.497</v>
      </c>
      <c r="H149" s="7" t="s">
        <v>340</v>
      </c>
      <c r="I149" s="4" t="s">
        <v>1214</v>
      </c>
      <c r="J149" s="4" t="s">
        <v>241</v>
      </c>
      <c r="K149" s="6">
        <v>36.404000000000003</v>
      </c>
      <c r="L149" s="6">
        <v>25.396000000000001</v>
      </c>
      <c r="M149" s="5" t="s">
        <v>340</v>
      </c>
      <c r="N149" s="5" t="s">
        <v>340</v>
      </c>
      <c r="O149" s="4" t="s">
        <v>387</v>
      </c>
      <c r="P149" s="5" t="s">
        <v>340</v>
      </c>
      <c r="Q149" s="5" t="s">
        <v>340</v>
      </c>
      <c r="R149" s="4" t="s">
        <v>979</v>
      </c>
      <c r="T149" s="7">
        <v>3510</v>
      </c>
      <c r="U149" s="7">
        <v>3535</v>
      </c>
      <c r="V149" s="7">
        <v>3559</v>
      </c>
      <c r="W149" s="21" t="s">
        <v>935</v>
      </c>
      <c r="X149" s="21" t="s">
        <v>852</v>
      </c>
      <c r="Y149" s="7" t="s">
        <v>340</v>
      </c>
      <c r="Z149" s="7" t="s">
        <v>340</v>
      </c>
      <c r="AA149" s="7" t="s">
        <v>340</v>
      </c>
      <c r="AB149" s="7" t="s">
        <v>340</v>
      </c>
      <c r="AC149" s="7" t="s">
        <v>340</v>
      </c>
      <c r="AD149" s="7" t="s">
        <v>340</v>
      </c>
      <c r="AE149" s="7">
        <v>3535</v>
      </c>
      <c r="AF149" s="7">
        <v>25</v>
      </c>
      <c r="AG149" s="7" t="s">
        <v>340</v>
      </c>
      <c r="AH149" s="5">
        <v>1</v>
      </c>
      <c r="AI149" s="5">
        <v>1</v>
      </c>
      <c r="AJ149" s="9">
        <f>IF(AND(ISNUMBER(F149),ISNUMBER(G149),ISNUMBER(K149),ISNUMBER(L149)),ACOS(MIN(1,COS(RADIANS(90-F149))*COS(RADIANS(90-K149))+SIN(RADIANS(90-F149))*SIN(RADIANS(90-K149))*COS(RADIANS(G149-L149))))*6371,"N/A")</f>
        <v>112.89639325307942</v>
      </c>
      <c r="AK149" s="10">
        <f>IF(AND(ISNUMBER(F149),ISNUMBER(G149),ISNUMBER(K149),ISNUMBER(L149)),MOD(DEGREES(ATAN2(COS(RADIANS(K149))*SIN(RADIANS(F149))-SIN(RADIANS(K149))*COS(RADIANS(F149))*COS(RADIANS(G149-L149)),SIN(RADIANS(G149-L149))*COS(RADIANS(F149))))+360,360),"N/A")</f>
        <v>175.3482386585722</v>
      </c>
      <c r="AL149" s="10" t="str">
        <f>IF(AND(ISNUMBER(F149),ISNUMBER(G149),ISNUMBER(M149),ISNUMBER(N149)),ACOS(MIN(1,COS(RADIANS(90-F149))*COS(RADIANS(90-M149))+SIN(RADIANS(90-F149))*SIN(RADIANS(90-M149))*COS(RADIANS(G149-N149))))*6371,"N/A")</f>
        <v>N/A</v>
      </c>
      <c r="AM149" s="10" t="str">
        <f>IF(AND(ISNUMBER(F149),ISNUMBER(G149),ISNUMBER(M149),ISNUMBER(N149)),MOD(DEGREES(ATAN2(COS(RADIANS(M149))*SIN(RADIANS(F149))-SIN(RADIANS(M149))*COS(RADIANS(F149))*COS(RADIANS(G149-N149)),SIN(RADIANS(G149-N149))*COS(RADIANS(F149))))+360,360),"N/A")</f>
        <v>N/A</v>
      </c>
      <c r="AN149" s="2"/>
      <c r="AO149" s="2"/>
    </row>
    <row r="150" spans="1:41" x14ac:dyDescent="0.2">
      <c r="A150" s="4" t="s">
        <v>1182</v>
      </c>
      <c r="B150" s="14" t="s">
        <v>688</v>
      </c>
      <c r="C150" s="5" t="s">
        <v>340</v>
      </c>
      <c r="D150" s="4" t="s">
        <v>70</v>
      </c>
      <c r="E150" s="4" t="s">
        <v>73</v>
      </c>
      <c r="F150" s="15">
        <v>35.988</v>
      </c>
      <c r="G150" s="15">
        <v>26.765000000000001</v>
      </c>
      <c r="H150" s="16" t="s">
        <v>340</v>
      </c>
      <c r="I150" s="4" t="s">
        <v>1215</v>
      </c>
      <c r="J150" s="4" t="s">
        <v>241</v>
      </c>
      <c r="K150" s="6">
        <v>36.404000000000003</v>
      </c>
      <c r="L150" s="6">
        <v>25.396000000000001</v>
      </c>
      <c r="M150" s="5" t="s">
        <v>340</v>
      </c>
      <c r="N150" s="5" t="s">
        <v>340</v>
      </c>
      <c r="O150" s="4" t="s">
        <v>246</v>
      </c>
      <c r="P150" s="5" t="s">
        <v>340</v>
      </c>
      <c r="Q150" s="5" t="s">
        <v>340</v>
      </c>
      <c r="R150" s="4" t="s">
        <v>673</v>
      </c>
      <c r="T150" s="7">
        <v>21353</v>
      </c>
      <c r="U150" s="7">
        <v>22170</v>
      </c>
      <c r="V150" s="7">
        <v>22575</v>
      </c>
      <c r="W150" s="15" t="s">
        <v>933</v>
      </c>
      <c r="X150" s="15" t="s">
        <v>1358</v>
      </c>
      <c r="Y150" s="7" t="s">
        <v>340</v>
      </c>
      <c r="Z150" s="7" t="s">
        <v>340</v>
      </c>
      <c r="AA150" s="7" t="s">
        <v>340</v>
      </c>
      <c r="AB150" s="7" t="s">
        <v>340</v>
      </c>
      <c r="AC150" s="7" t="s">
        <v>340</v>
      </c>
      <c r="AD150" s="7" t="s">
        <v>340</v>
      </c>
      <c r="AE150" s="7">
        <v>22101</v>
      </c>
      <c r="AF150" s="7">
        <v>308</v>
      </c>
      <c r="AG150" s="7" t="s">
        <v>340</v>
      </c>
      <c r="AH150" s="5">
        <v>1</v>
      </c>
      <c r="AI150" s="5">
        <v>1</v>
      </c>
      <c r="AJ150" s="9">
        <f>IF(AND(ISNUMBER(F150),ISNUMBER(G150),ISNUMBER(K150),ISNUMBER(L150)),ACOS(MIN(1,COS(RADIANS(90-F150))*COS(RADIANS(90-K150))+SIN(RADIANS(90-F150))*SIN(RADIANS(90-K150))*COS(RADIANS(G150-L150))))*6371,"N/A")</f>
        <v>131.26521833406673</v>
      </c>
      <c r="AK150" s="10">
        <f>IF(AND(ISNUMBER(F150),ISNUMBER(G150),ISNUMBER(K150),ISNUMBER(L150)),MOD(DEGREES(ATAN2(COS(RADIANS(K150))*SIN(RADIANS(F150))-SIN(RADIANS(K150))*COS(RADIANS(F150))*COS(RADIANS(G150-L150)),SIN(RADIANS(G150-L150))*COS(RADIANS(F150))))+360,360),"N/A")</f>
        <v>110.22836792441649</v>
      </c>
      <c r="AL150" s="10" t="str">
        <f>IF(AND(ISNUMBER(F150),ISNUMBER(G150),ISNUMBER(M150),ISNUMBER(N150)),ACOS(MIN(1,COS(RADIANS(90-F150))*COS(RADIANS(90-M150))+SIN(RADIANS(90-F150))*SIN(RADIANS(90-M150))*COS(RADIANS(G150-N150))))*6371,"N/A")</f>
        <v>N/A</v>
      </c>
      <c r="AM150" s="10" t="str">
        <f>IF(AND(ISNUMBER(F150),ISNUMBER(G150),ISNUMBER(M150),ISNUMBER(N150)),MOD(DEGREES(ATAN2(COS(RADIANS(M150))*SIN(RADIANS(F150))-SIN(RADIANS(M150))*COS(RADIANS(F150))*COS(RADIANS(G150-N150)),SIN(RADIANS(G150-N150))*COS(RADIANS(F150))))+360,360),"N/A")</f>
        <v>N/A</v>
      </c>
      <c r="AN150" s="2"/>
      <c r="AO150" s="2"/>
    </row>
    <row r="151" spans="1:41" x14ac:dyDescent="0.2">
      <c r="A151" s="4" t="s">
        <v>167</v>
      </c>
      <c r="B151" s="4" t="s">
        <v>168</v>
      </c>
      <c r="C151" s="5" t="s">
        <v>340</v>
      </c>
      <c r="D151" s="4" t="s">
        <v>169</v>
      </c>
      <c r="E151" s="4" t="s">
        <v>170</v>
      </c>
      <c r="F151" s="15">
        <v>43.762622</v>
      </c>
      <c r="G151" s="15">
        <v>23.058208</v>
      </c>
      <c r="H151" s="16" t="s">
        <v>340</v>
      </c>
      <c r="I151" s="4" t="s">
        <v>171</v>
      </c>
      <c r="J151" s="4" t="s">
        <v>241</v>
      </c>
      <c r="K151" s="6">
        <v>36.404000000000003</v>
      </c>
      <c r="L151" s="6">
        <v>25.396000000000001</v>
      </c>
      <c r="M151" s="5" t="s">
        <v>340</v>
      </c>
      <c r="N151" s="5" t="s">
        <v>340</v>
      </c>
      <c r="O151" s="4" t="s">
        <v>246</v>
      </c>
      <c r="P151" s="5">
        <v>43</v>
      </c>
      <c r="Q151" s="5" t="s">
        <v>340</v>
      </c>
      <c r="R151" s="4" t="s">
        <v>41</v>
      </c>
      <c r="S151" s="4" t="s">
        <v>1121</v>
      </c>
      <c r="T151" s="7">
        <v>21353</v>
      </c>
      <c r="U151" s="7">
        <v>22170</v>
      </c>
      <c r="V151" s="7">
        <v>22575</v>
      </c>
      <c r="W151" s="15" t="s">
        <v>933</v>
      </c>
      <c r="X151" s="15" t="s">
        <v>1358</v>
      </c>
      <c r="Y151" s="7" t="s">
        <v>340</v>
      </c>
      <c r="Z151" s="7" t="s">
        <v>340</v>
      </c>
      <c r="AA151" s="7" t="s">
        <v>340</v>
      </c>
      <c r="AB151" s="7" t="s">
        <v>340</v>
      </c>
      <c r="AC151" s="7" t="s">
        <v>340</v>
      </c>
      <c r="AD151" s="7" t="s">
        <v>340</v>
      </c>
      <c r="AE151" s="7">
        <v>22101</v>
      </c>
      <c r="AF151" s="7">
        <v>308</v>
      </c>
      <c r="AG151" s="7" t="s">
        <v>340</v>
      </c>
      <c r="AH151" s="5">
        <v>1</v>
      </c>
      <c r="AI151" s="5">
        <v>1</v>
      </c>
      <c r="AJ151" s="9">
        <f>IF(AND(ISNUMBER(F151),ISNUMBER(G151),ISNUMBER(K151),ISNUMBER(L151)),ACOS(MIN(1,COS(RADIANS(90-F151))*COS(RADIANS(90-K151))+SIN(RADIANS(90-F151))*SIN(RADIANS(90-K151))*COS(RADIANS(G151-L151))))*6371,"N/A")</f>
        <v>841.96445041463153</v>
      </c>
      <c r="AK151" s="10">
        <f>IF(AND(ISNUMBER(F151),ISNUMBER(G151),ISNUMBER(K151),ISNUMBER(L151)),MOD(DEGREES(ATAN2(COS(RADIANS(K151))*SIN(RADIANS(F151))-SIN(RADIANS(K151))*COS(RADIANS(F151))*COS(RADIANS(G151-L151)),SIN(RADIANS(G151-L151))*COS(RADIANS(F151))))+360,360),"N/A")</f>
        <v>347.08142613383603</v>
      </c>
      <c r="AL151" s="10" t="str">
        <f>IF(AND(ISNUMBER(F151),ISNUMBER(G151),ISNUMBER(M151),ISNUMBER(N151)),ACOS(MIN(1,COS(RADIANS(90-F151))*COS(RADIANS(90-M151))+SIN(RADIANS(90-F151))*SIN(RADIANS(90-M151))*COS(RADIANS(G151-N151))))*6371,"N/A")</f>
        <v>N/A</v>
      </c>
      <c r="AM151" s="10" t="str">
        <f>IF(AND(ISNUMBER(F151),ISNUMBER(G151),ISNUMBER(M151),ISNUMBER(N151)),MOD(DEGREES(ATAN2(COS(RADIANS(M151))*SIN(RADIANS(F151))-SIN(RADIANS(M151))*COS(RADIANS(F151))*COS(RADIANS(G151-N151)),SIN(RADIANS(G151-N151))*COS(RADIANS(F151))))+360,360),"N/A")</f>
        <v>N/A</v>
      </c>
      <c r="AN151" s="2"/>
      <c r="AO151" s="2"/>
    </row>
    <row r="152" spans="1:41" x14ac:dyDescent="0.2">
      <c r="A152" s="4" t="s">
        <v>192</v>
      </c>
      <c r="B152" s="4" t="s">
        <v>49</v>
      </c>
      <c r="C152" s="5">
        <v>611</v>
      </c>
      <c r="D152" s="4" t="s">
        <v>32</v>
      </c>
      <c r="E152" s="4" t="s">
        <v>50</v>
      </c>
      <c r="F152" s="15">
        <v>45.066099999999999</v>
      </c>
      <c r="G152" s="15">
        <v>7.3875000000000002</v>
      </c>
      <c r="H152" s="16">
        <v>350</v>
      </c>
      <c r="I152" s="4" t="s">
        <v>190</v>
      </c>
      <c r="J152" s="4" t="s">
        <v>954</v>
      </c>
      <c r="K152" s="6">
        <v>50.4</v>
      </c>
      <c r="L152" s="6">
        <v>7.3250000000000002</v>
      </c>
      <c r="M152" s="5" t="s">
        <v>340</v>
      </c>
      <c r="N152" s="5" t="s">
        <v>340</v>
      </c>
      <c r="O152" s="4" t="s">
        <v>191</v>
      </c>
      <c r="P152" s="5">
        <v>16</v>
      </c>
      <c r="Q152" s="5" t="s">
        <v>340</v>
      </c>
      <c r="R152" s="4" t="s">
        <v>184</v>
      </c>
      <c r="S152" s="4" t="s">
        <v>1121</v>
      </c>
      <c r="T152" s="7">
        <v>13001</v>
      </c>
      <c r="U152" s="7">
        <v>13006</v>
      </c>
      <c r="V152" s="7">
        <v>13011</v>
      </c>
      <c r="W152" s="15" t="s">
        <v>1353</v>
      </c>
      <c r="X152" s="15" t="s">
        <v>1375</v>
      </c>
      <c r="Y152" s="7" t="s">
        <v>340</v>
      </c>
      <c r="Z152" s="7" t="s">
        <v>340</v>
      </c>
      <c r="AA152" s="7" t="s">
        <v>340</v>
      </c>
      <c r="AB152" s="7" t="s">
        <v>340</v>
      </c>
      <c r="AC152" s="7" t="s">
        <v>340</v>
      </c>
      <c r="AD152" s="7" t="s">
        <v>340</v>
      </c>
      <c r="AE152" s="7">
        <v>13006</v>
      </c>
      <c r="AF152" s="7">
        <v>5</v>
      </c>
      <c r="AG152" s="7" t="s">
        <v>340</v>
      </c>
      <c r="AH152" s="5">
        <v>1</v>
      </c>
      <c r="AI152" s="5">
        <v>1</v>
      </c>
      <c r="AJ152" s="9">
        <f>IF(AND(ISNUMBER(F152),ISNUMBER(G152),ISNUMBER(K152),ISNUMBER(L152)),ACOS(MIN(1,COS(RADIANS(90-F152))*COS(RADIANS(90-K152))+SIN(RADIANS(90-F152))*SIN(RADIANS(90-K152))*COS(RADIANS(G152-L152))))*6371,"N/A")</f>
        <v>593.12097627055232</v>
      </c>
      <c r="AK152" s="10">
        <f>IF(AND(ISNUMBER(F152),ISNUMBER(G152),ISNUMBER(K152),ISNUMBER(L152)),MOD(DEGREES(ATAN2(COS(RADIANS(K152))*SIN(RADIANS(F152))-SIN(RADIANS(K152))*COS(RADIANS(F152))*COS(RADIANS(G152-L152)),SIN(RADIANS(G152-L152))*COS(RADIANS(F152))))+360,360),"N/A")</f>
        <v>179.52514595448906</v>
      </c>
      <c r="AL152" s="10" t="str">
        <f>IF(AND(ISNUMBER(F152),ISNUMBER(G152),ISNUMBER(M152),ISNUMBER(N152)),ACOS(MIN(1,COS(RADIANS(90-F152))*COS(RADIANS(90-M152))+SIN(RADIANS(90-F152))*SIN(RADIANS(90-M152))*COS(RADIANS(G152-N152))))*6371,"N/A")</f>
        <v>N/A</v>
      </c>
      <c r="AM152" s="10" t="str">
        <f>IF(AND(ISNUMBER(F152),ISNUMBER(G152),ISNUMBER(M152),ISNUMBER(N152)),MOD(DEGREES(ATAN2(COS(RADIANS(M152))*SIN(RADIANS(F152))-SIN(RADIANS(M152))*COS(RADIANS(F152))*COS(RADIANS(G152-N152)),SIN(RADIANS(G152-N152))*COS(RADIANS(F152))))+360,360),"N/A")</f>
        <v>N/A</v>
      </c>
      <c r="AN152" s="2"/>
      <c r="AO152" s="2"/>
    </row>
    <row r="153" spans="1:41" x14ac:dyDescent="0.2">
      <c r="A153" s="4" t="s">
        <v>653</v>
      </c>
      <c r="B153" s="4" t="s">
        <v>647</v>
      </c>
      <c r="C153" s="5" t="s">
        <v>340</v>
      </c>
      <c r="D153" s="4" t="s">
        <v>70</v>
      </c>
      <c r="E153" s="4" t="s">
        <v>101</v>
      </c>
      <c r="F153" s="15">
        <v>34.953833000000003</v>
      </c>
      <c r="G153" s="15">
        <v>17.862500000000001</v>
      </c>
      <c r="H153" s="16">
        <v>-1375</v>
      </c>
      <c r="I153" s="4" t="s">
        <v>1042</v>
      </c>
      <c r="J153" s="4" t="s">
        <v>42</v>
      </c>
      <c r="K153" s="6">
        <v>37.747999999999998</v>
      </c>
      <c r="L153" s="6">
        <v>14.999000000000001</v>
      </c>
      <c r="M153" s="5" t="s">
        <v>340</v>
      </c>
      <c r="N153" s="5" t="s">
        <v>340</v>
      </c>
      <c r="O153" s="4" t="s">
        <v>1044</v>
      </c>
      <c r="P153" s="5">
        <v>65</v>
      </c>
      <c r="Q153" s="5" t="s">
        <v>340</v>
      </c>
      <c r="R153" s="4" t="s">
        <v>41</v>
      </c>
      <c r="S153" s="4" t="s">
        <v>1121</v>
      </c>
      <c r="T153" s="7">
        <v>1700</v>
      </c>
      <c r="U153" s="7">
        <v>2200</v>
      </c>
      <c r="V153" s="7">
        <v>2700</v>
      </c>
      <c r="W153" s="15" t="s">
        <v>1107</v>
      </c>
      <c r="X153" s="15" t="s">
        <v>982</v>
      </c>
      <c r="Y153" s="7">
        <v>2202</v>
      </c>
      <c r="Z153" s="7">
        <v>41</v>
      </c>
      <c r="AA153" s="7" t="s">
        <v>340</v>
      </c>
      <c r="AB153" s="7" t="s">
        <v>340</v>
      </c>
      <c r="AC153" s="7" t="s">
        <v>340</v>
      </c>
      <c r="AD153" s="7" t="s">
        <v>340</v>
      </c>
      <c r="AE153" s="7" t="s">
        <v>340</v>
      </c>
      <c r="AF153" s="7" t="s">
        <v>340</v>
      </c>
      <c r="AG153" s="7" t="s">
        <v>1043</v>
      </c>
      <c r="AH153" s="5">
        <v>1</v>
      </c>
      <c r="AI153" s="5">
        <v>1</v>
      </c>
      <c r="AJ153" s="9">
        <f>IF(AND(ISNUMBER(F153),ISNUMBER(G153),ISNUMBER(K153),ISNUMBER(L153)),ACOS(MIN(1,COS(RADIANS(90-F153))*COS(RADIANS(90-K153))+SIN(RADIANS(90-F153))*SIN(RADIANS(90-K153))*COS(RADIANS(G153-L153))))*6371,"N/A")</f>
        <v>402.81252019974227</v>
      </c>
      <c r="AK153" s="10">
        <f>IF(AND(ISNUMBER(F153),ISNUMBER(G153),ISNUMBER(K153),ISNUMBER(L153)),MOD(DEGREES(ATAN2(COS(RADIANS(K153))*SIN(RADIANS(F153))-SIN(RADIANS(K153))*COS(RADIANS(F153))*COS(RADIANS(G153-L153)),SIN(RADIANS(G153-L153))*COS(RADIANS(F153))))+360,360),"N/A")</f>
        <v>139.60653812951523</v>
      </c>
      <c r="AL153" s="10" t="str">
        <f>IF(AND(ISNUMBER(F153),ISNUMBER(G153),ISNUMBER(M153),ISNUMBER(N153)),ACOS(MIN(1,COS(RADIANS(90-F153))*COS(RADIANS(90-M153))+SIN(RADIANS(90-F153))*SIN(RADIANS(90-M153))*COS(RADIANS(G153-N153))))*6371,"N/A")</f>
        <v>N/A</v>
      </c>
      <c r="AM153" s="10" t="str">
        <f>IF(AND(ISNUMBER(F153),ISNUMBER(G153),ISNUMBER(M153),ISNUMBER(N153)),MOD(DEGREES(ATAN2(COS(RADIANS(M153))*SIN(RADIANS(F153))-SIN(RADIANS(M153))*COS(RADIANS(F153))*COS(RADIANS(G153-N153)),SIN(RADIANS(G153-N153))*COS(RADIANS(F153))))+360,360),"N/A")</f>
        <v>N/A</v>
      </c>
      <c r="AN153" s="2"/>
      <c r="AO153" s="2"/>
    </row>
    <row r="154" spans="1:41" x14ac:dyDescent="0.2">
      <c r="A154" s="4" t="s">
        <v>357</v>
      </c>
      <c r="B154" s="4" t="s">
        <v>80</v>
      </c>
      <c r="C154" s="5">
        <v>704</v>
      </c>
      <c r="D154" s="4" t="s">
        <v>70</v>
      </c>
      <c r="E154" s="4" t="s">
        <v>77</v>
      </c>
      <c r="F154" s="15">
        <v>42.92</v>
      </c>
      <c r="G154" s="15">
        <v>33.44</v>
      </c>
      <c r="H154" s="16">
        <v>-707</v>
      </c>
      <c r="I154" s="4" t="s">
        <v>212</v>
      </c>
      <c r="J154" s="4" t="s">
        <v>241</v>
      </c>
      <c r="K154" s="6">
        <v>36.404000000000003</v>
      </c>
      <c r="L154" s="6">
        <v>25.396000000000001</v>
      </c>
      <c r="M154" s="5" t="s">
        <v>340</v>
      </c>
      <c r="N154" s="5" t="s">
        <v>340</v>
      </c>
      <c r="O154" s="4" t="s">
        <v>387</v>
      </c>
      <c r="P154" s="5">
        <v>16</v>
      </c>
      <c r="Q154" s="5">
        <v>9999</v>
      </c>
      <c r="R154" s="4" t="s">
        <v>41</v>
      </c>
      <c r="S154" s="4" t="s">
        <v>1121</v>
      </c>
      <c r="T154" s="7">
        <v>3510</v>
      </c>
      <c r="U154" s="7">
        <v>3535</v>
      </c>
      <c r="V154" s="7">
        <v>3559</v>
      </c>
      <c r="W154" s="21" t="s">
        <v>935</v>
      </c>
      <c r="X154" s="21" t="s">
        <v>852</v>
      </c>
      <c r="Y154" s="7" t="s">
        <v>340</v>
      </c>
      <c r="Z154" s="7" t="s">
        <v>340</v>
      </c>
      <c r="AA154" s="7" t="s">
        <v>340</v>
      </c>
      <c r="AB154" s="7" t="s">
        <v>340</v>
      </c>
      <c r="AC154" s="7" t="s">
        <v>340</v>
      </c>
      <c r="AD154" s="7" t="s">
        <v>340</v>
      </c>
      <c r="AE154" s="7">
        <v>3535</v>
      </c>
      <c r="AF154" s="7">
        <v>25</v>
      </c>
      <c r="AG154" s="7" t="s">
        <v>340</v>
      </c>
      <c r="AH154" s="5">
        <v>1</v>
      </c>
      <c r="AI154" s="5">
        <v>1</v>
      </c>
      <c r="AJ154" s="9">
        <f>IF(AND(ISNUMBER(F154),ISNUMBER(G154),ISNUMBER(K154),ISNUMBER(L154)),ACOS(MIN(1,COS(RADIANS(90-F154))*COS(RADIANS(90-K154))+SIN(RADIANS(90-F154))*SIN(RADIANS(90-K154))*COS(RADIANS(G154-L154))))*6371,"N/A")</f>
        <v>998.60488675155807</v>
      </c>
      <c r="AK154" s="10">
        <f>IF(AND(ISNUMBER(F154),ISNUMBER(G154),ISNUMBER(K154),ISNUMBER(L154)),MOD(DEGREES(ATAN2(COS(RADIANS(K154))*SIN(RADIANS(F154))-SIN(RADIANS(K154))*COS(RADIANS(F154))*COS(RADIANS(G154-L154)),SIN(RADIANS(G154-L154))*COS(RADIANS(F154))))+360,360),"N/A")</f>
        <v>41.03037237205956</v>
      </c>
      <c r="AL154" s="10" t="str">
        <f>IF(AND(ISNUMBER(F154),ISNUMBER(G154),ISNUMBER(M154),ISNUMBER(N154)),ACOS(MIN(1,COS(RADIANS(90-F154))*COS(RADIANS(90-M154))+SIN(RADIANS(90-F154))*SIN(RADIANS(90-M154))*COS(RADIANS(G154-N154))))*6371,"N/A")</f>
        <v>N/A</v>
      </c>
      <c r="AM154" s="10" t="str">
        <f>IF(AND(ISNUMBER(F154),ISNUMBER(G154),ISNUMBER(M154),ISNUMBER(N154)),MOD(DEGREES(ATAN2(COS(RADIANS(M154))*SIN(RADIANS(F154))-SIN(RADIANS(M154))*COS(RADIANS(F154))*COS(RADIANS(G154-N154)),SIN(RADIANS(G154-N154))*COS(RADIANS(F154))))+360,360),"N/A")</f>
        <v>N/A</v>
      </c>
      <c r="AN154" s="2"/>
      <c r="AO154" s="2"/>
    </row>
    <row r="155" spans="1:41" x14ac:dyDescent="0.2">
      <c r="A155" s="4" t="s">
        <v>356</v>
      </c>
      <c r="B155" s="4" t="s">
        <v>79</v>
      </c>
      <c r="C155" s="5">
        <v>893</v>
      </c>
      <c r="D155" s="4" t="s">
        <v>70</v>
      </c>
      <c r="E155" s="4" t="s">
        <v>77</v>
      </c>
      <c r="F155" s="15">
        <v>42.200299999999999</v>
      </c>
      <c r="G155" s="15">
        <v>34.105499999999999</v>
      </c>
      <c r="H155" s="16">
        <v>-411</v>
      </c>
      <c r="I155" s="4" t="s">
        <v>212</v>
      </c>
      <c r="J155" s="4" t="s">
        <v>241</v>
      </c>
      <c r="K155" s="6">
        <v>36.404000000000003</v>
      </c>
      <c r="L155" s="6">
        <v>25.396000000000001</v>
      </c>
      <c r="M155" s="5" t="s">
        <v>340</v>
      </c>
      <c r="N155" s="5" t="s">
        <v>340</v>
      </c>
      <c r="O155" s="4" t="s">
        <v>387</v>
      </c>
      <c r="P155" s="5" t="s">
        <v>340</v>
      </c>
      <c r="Q155" s="5">
        <v>9999</v>
      </c>
      <c r="R155" s="4" t="s">
        <v>41</v>
      </c>
      <c r="S155" s="4" t="s">
        <v>1121</v>
      </c>
      <c r="T155" s="7">
        <v>3510</v>
      </c>
      <c r="U155" s="7">
        <v>3535</v>
      </c>
      <c r="V155" s="7">
        <v>3559</v>
      </c>
      <c r="W155" s="21" t="s">
        <v>935</v>
      </c>
      <c r="X155" s="21" t="s">
        <v>852</v>
      </c>
      <c r="Y155" s="7" t="s">
        <v>340</v>
      </c>
      <c r="Z155" s="7" t="s">
        <v>340</v>
      </c>
      <c r="AA155" s="7" t="s">
        <v>340</v>
      </c>
      <c r="AB155" s="7" t="s">
        <v>340</v>
      </c>
      <c r="AC155" s="7" t="s">
        <v>340</v>
      </c>
      <c r="AD155" s="7" t="s">
        <v>340</v>
      </c>
      <c r="AE155" s="7">
        <v>3535</v>
      </c>
      <c r="AF155" s="7">
        <v>25</v>
      </c>
      <c r="AG155" s="7" t="s">
        <v>340</v>
      </c>
      <c r="AH155" s="5">
        <v>1</v>
      </c>
      <c r="AI155" s="5">
        <v>1</v>
      </c>
      <c r="AJ155" s="9">
        <f>IF(AND(ISNUMBER(F155),ISNUMBER(G155),ISNUMBER(K155),ISNUMBER(L155)),ACOS(MIN(1,COS(RADIANS(90-F155))*COS(RADIANS(90-K155))+SIN(RADIANS(90-F155))*SIN(RADIANS(90-K155))*COS(RADIANS(G155-L155))))*6371,"N/A")</f>
        <v>987.48902688856424</v>
      </c>
      <c r="AK155" s="10">
        <f>IF(AND(ISNUMBER(F155),ISNUMBER(G155),ISNUMBER(K155),ISNUMBER(L155)),MOD(DEGREES(ATAN2(COS(RADIANS(K155))*SIN(RADIANS(F155))-SIN(RADIANS(K155))*COS(RADIANS(F155))*COS(RADIANS(G155-L155)),SIN(RADIANS(G155-L155))*COS(RADIANS(F155))))+360,360),"N/A")</f>
        <v>46.604712313676146</v>
      </c>
      <c r="AL155" s="10" t="str">
        <f>IF(AND(ISNUMBER(F155),ISNUMBER(G155),ISNUMBER(M155),ISNUMBER(N155)),ACOS(MIN(1,COS(RADIANS(90-F155))*COS(RADIANS(90-M155))+SIN(RADIANS(90-F155))*SIN(RADIANS(90-M155))*COS(RADIANS(G155-N155))))*6371,"N/A")</f>
        <v>N/A</v>
      </c>
      <c r="AM155" s="10" t="str">
        <f>IF(AND(ISNUMBER(F155),ISNUMBER(G155),ISNUMBER(M155),ISNUMBER(N155)),MOD(DEGREES(ATAN2(COS(RADIANS(M155))*SIN(RADIANS(F155))-SIN(RADIANS(M155))*COS(RADIANS(F155))*COS(RADIANS(G155-N155)),SIN(RADIANS(G155-N155))*COS(RADIANS(F155))))+360,360),"N/A")</f>
        <v>N/A</v>
      </c>
      <c r="AN155" s="2"/>
      <c r="AO155" s="2"/>
    </row>
    <row r="156" spans="1:41" x14ac:dyDescent="0.2">
      <c r="A156" s="4" t="s">
        <v>354</v>
      </c>
      <c r="B156" s="4" t="s">
        <v>76</v>
      </c>
      <c r="C156" s="5">
        <v>894</v>
      </c>
      <c r="D156" s="4" t="s">
        <v>70</v>
      </c>
      <c r="E156" s="4" t="s">
        <v>77</v>
      </c>
      <c r="F156" s="15">
        <v>42.9833</v>
      </c>
      <c r="G156" s="15">
        <v>34.006500000000003</v>
      </c>
      <c r="H156" s="16">
        <v>-2195</v>
      </c>
      <c r="I156" s="4" t="s">
        <v>212</v>
      </c>
      <c r="J156" s="4" t="s">
        <v>241</v>
      </c>
      <c r="K156" s="6">
        <v>36.404000000000003</v>
      </c>
      <c r="L156" s="6">
        <v>25.396000000000001</v>
      </c>
      <c r="M156" s="5" t="s">
        <v>340</v>
      </c>
      <c r="N156" s="5" t="s">
        <v>340</v>
      </c>
      <c r="O156" s="4" t="s">
        <v>387</v>
      </c>
      <c r="P156" s="5" t="s">
        <v>340</v>
      </c>
      <c r="Q156" s="5">
        <v>9999</v>
      </c>
      <c r="R156" s="4" t="s">
        <v>41</v>
      </c>
      <c r="S156" s="4" t="s">
        <v>1121</v>
      </c>
      <c r="T156" s="7">
        <v>3510</v>
      </c>
      <c r="U156" s="7">
        <v>3535</v>
      </c>
      <c r="V156" s="7">
        <v>3559</v>
      </c>
      <c r="W156" s="21" t="s">
        <v>935</v>
      </c>
      <c r="X156" s="21" t="s">
        <v>852</v>
      </c>
      <c r="Y156" s="7" t="s">
        <v>340</v>
      </c>
      <c r="Z156" s="7" t="s">
        <v>340</v>
      </c>
      <c r="AA156" s="7" t="s">
        <v>340</v>
      </c>
      <c r="AB156" s="7" t="s">
        <v>340</v>
      </c>
      <c r="AC156" s="7" t="s">
        <v>340</v>
      </c>
      <c r="AD156" s="7" t="s">
        <v>340</v>
      </c>
      <c r="AE156" s="7">
        <v>3535</v>
      </c>
      <c r="AF156" s="7">
        <v>25</v>
      </c>
      <c r="AG156" s="7" t="s">
        <v>340</v>
      </c>
      <c r="AH156" s="5">
        <v>1</v>
      </c>
      <c r="AI156" s="5">
        <v>1</v>
      </c>
      <c r="AJ156" s="9">
        <f>IF(AND(ISNUMBER(F156),ISNUMBER(G156),ISNUMBER(K156),ISNUMBER(L156)),ACOS(MIN(1,COS(RADIANS(90-F156))*COS(RADIANS(90-K156))+SIN(RADIANS(90-F156))*SIN(RADIANS(90-K156))*COS(RADIANS(G156-L156))))*6371,"N/A")</f>
        <v>1037.1749047585049</v>
      </c>
      <c r="AK156" s="10">
        <f>IF(AND(ISNUMBER(F156),ISNUMBER(G156),ISNUMBER(K156),ISNUMBER(L156)),MOD(DEGREES(ATAN2(COS(RADIANS(K156))*SIN(RADIANS(F156))-SIN(RADIANS(K156))*COS(RADIANS(F156))*COS(RADIANS(G156-L156)),SIN(RADIANS(G156-L156))*COS(RADIANS(F156))))+360,360),"N/A")</f>
        <v>42.513002578598275</v>
      </c>
      <c r="AL156" s="10" t="str">
        <f>IF(AND(ISNUMBER(F156),ISNUMBER(G156),ISNUMBER(M156),ISNUMBER(N156)),ACOS(MIN(1,COS(RADIANS(90-F156))*COS(RADIANS(90-M156))+SIN(RADIANS(90-F156))*SIN(RADIANS(90-M156))*COS(RADIANS(G156-N156))))*6371,"N/A")</f>
        <v>N/A</v>
      </c>
      <c r="AM156" s="10" t="str">
        <f>IF(AND(ISNUMBER(F156),ISNUMBER(G156),ISNUMBER(M156),ISNUMBER(N156)),MOD(DEGREES(ATAN2(COS(RADIANS(M156))*SIN(RADIANS(F156))-SIN(RADIANS(M156))*COS(RADIANS(F156))*COS(RADIANS(G156-N156)),SIN(RADIANS(G156-N156))*COS(RADIANS(F156))))+360,360),"N/A")</f>
        <v>N/A</v>
      </c>
      <c r="AN156" s="2"/>
      <c r="AO156" s="2"/>
    </row>
    <row r="157" spans="1:41" x14ac:dyDescent="0.2">
      <c r="A157" s="4" t="s">
        <v>355</v>
      </c>
      <c r="B157" s="4" t="s">
        <v>78</v>
      </c>
      <c r="C157" s="5">
        <v>895</v>
      </c>
      <c r="D157" s="4" t="s">
        <v>70</v>
      </c>
      <c r="E157" s="4" t="s">
        <v>77</v>
      </c>
      <c r="F157" s="15">
        <v>41.975700000000003</v>
      </c>
      <c r="G157" s="15">
        <v>36.555</v>
      </c>
      <c r="H157" s="16">
        <v>-600</v>
      </c>
      <c r="I157" s="4" t="s">
        <v>212</v>
      </c>
      <c r="J157" s="4" t="s">
        <v>241</v>
      </c>
      <c r="K157" s="6">
        <v>36.404000000000003</v>
      </c>
      <c r="L157" s="6">
        <v>25.396000000000001</v>
      </c>
      <c r="M157" s="5" t="s">
        <v>340</v>
      </c>
      <c r="N157" s="5" t="s">
        <v>340</v>
      </c>
      <c r="O157" s="4" t="s">
        <v>387</v>
      </c>
      <c r="P157" s="5" t="s">
        <v>340</v>
      </c>
      <c r="Q157" s="5">
        <v>9999</v>
      </c>
      <c r="R157" s="4" t="s">
        <v>41</v>
      </c>
      <c r="S157" s="4" t="s">
        <v>1121</v>
      </c>
      <c r="T157" s="7">
        <v>3510</v>
      </c>
      <c r="U157" s="7">
        <v>3535</v>
      </c>
      <c r="V157" s="7">
        <v>3559</v>
      </c>
      <c r="W157" s="21" t="s">
        <v>935</v>
      </c>
      <c r="X157" s="21" t="s">
        <v>852</v>
      </c>
      <c r="Y157" s="7" t="s">
        <v>340</v>
      </c>
      <c r="Z157" s="7" t="s">
        <v>340</v>
      </c>
      <c r="AA157" s="7" t="s">
        <v>340</v>
      </c>
      <c r="AB157" s="7" t="s">
        <v>340</v>
      </c>
      <c r="AC157" s="7" t="s">
        <v>340</v>
      </c>
      <c r="AD157" s="7" t="s">
        <v>340</v>
      </c>
      <c r="AE157" s="7">
        <v>3535</v>
      </c>
      <c r="AF157" s="7">
        <v>25</v>
      </c>
      <c r="AG157" s="7" t="s">
        <v>340</v>
      </c>
      <c r="AH157" s="5">
        <v>1</v>
      </c>
      <c r="AI157" s="5">
        <v>1</v>
      </c>
      <c r="AJ157" s="9">
        <f>IF(AND(ISNUMBER(F157),ISNUMBER(G157),ISNUMBER(K157),ISNUMBER(L157)),ACOS(MIN(1,COS(RADIANS(90-F157))*COS(RADIANS(90-K157))+SIN(RADIANS(90-F157))*SIN(RADIANS(90-K157))*COS(RADIANS(G157-L157))))*6371,"N/A")</f>
        <v>1142.5262963240873</v>
      </c>
      <c r="AK157" s="10">
        <f>IF(AND(ISNUMBER(F157),ISNUMBER(G157),ISNUMBER(K157),ISNUMBER(L157)),MOD(DEGREES(ATAN2(COS(RADIANS(K157))*SIN(RADIANS(F157))-SIN(RADIANS(K157))*COS(RADIANS(F157))*COS(RADIANS(G157-L157)),SIN(RADIANS(G157-L157))*COS(RADIANS(F157))))+360,360),"N/A")</f>
        <v>53.766194180676052</v>
      </c>
      <c r="AL157" s="10" t="str">
        <f>IF(AND(ISNUMBER(F157),ISNUMBER(G157),ISNUMBER(M157),ISNUMBER(N157)),ACOS(MIN(1,COS(RADIANS(90-F157))*COS(RADIANS(90-M157))+SIN(RADIANS(90-F157))*SIN(RADIANS(90-M157))*COS(RADIANS(G157-N157))))*6371,"N/A")</f>
        <v>N/A</v>
      </c>
      <c r="AM157" s="10" t="str">
        <f>IF(AND(ISNUMBER(F157),ISNUMBER(G157),ISNUMBER(M157),ISNUMBER(N157)),MOD(DEGREES(ATAN2(COS(RADIANS(M157))*SIN(RADIANS(F157))-SIN(RADIANS(M157))*COS(RADIANS(F157))*COS(RADIANS(G157-N157)),SIN(RADIANS(G157-N157))*COS(RADIANS(F157))))+360,360),"N/A")</f>
        <v>N/A</v>
      </c>
      <c r="AN157" s="2"/>
      <c r="AO157" s="2"/>
    </row>
    <row r="158" spans="1:41" x14ac:dyDescent="0.2">
      <c r="A158" s="4" t="s">
        <v>367</v>
      </c>
      <c r="B158" s="4" t="s">
        <v>93</v>
      </c>
      <c r="C158" s="5">
        <v>814</v>
      </c>
      <c r="D158" s="4" t="s">
        <v>70</v>
      </c>
      <c r="E158" s="4" t="s">
        <v>73</v>
      </c>
      <c r="F158" s="15">
        <v>32.741999999999997</v>
      </c>
      <c r="G158" s="15">
        <v>34.650300000000001</v>
      </c>
      <c r="H158" s="16">
        <v>-892</v>
      </c>
      <c r="I158" s="4" t="s">
        <v>214</v>
      </c>
      <c r="J158" s="4" t="s">
        <v>368</v>
      </c>
      <c r="K158" s="6">
        <v>38.530999999999999</v>
      </c>
      <c r="L158" s="6">
        <v>35.447000000000003</v>
      </c>
      <c r="M158" s="5" t="s">
        <v>340</v>
      </c>
      <c r="N158" s="5" t="s">
        <v>340</v>
      </c>
      <c r="O158" s="4" t="s">
        <v>370</v>
      </c>
      <c r="P158" s="5">
        <v>23</v>
      </c>
      <c r="Q158" s="5">
        <v>9999</v>
      </c>
      <c r="R158" s="4" t="s">
        <v>41</v>
      </c>
      <c r="S158" s="4" t="s">
        <v>369</v>
      </c>
      <c r="T158" s="7">
        <v>9141</v>
      </c>
      <c r="U158" s="7">
        <v>9335</v>
      </c>
      <c r="V158" s="7">
        <v>9528</v>
      </c>
      <c r="W158" s="15" t="s">
        <v>917</v>
      </c>
      <c r="X158" s="15" t="s">
        <v>1376</v>
      </c>
      <c r="Y158" s="7">
        <v>8365</v>
      </c>
      <c r="Z158" s="7">
        <v>65</v>
      </c>
      <c r="AA158" s="7" t="s">
        <v>340</v>
      </c>
      <c r="AB158" s="7" t="s">
        <v>340</v>
      </c>
      <c r="AC158" s="7" t="s">
        <v>340</v>
      </c>
      <c r="AD158" s="7" t="s">
        <v>340</v>
      </c>
      <c r="AE158" s="7" t="s">
        <v>340</v>
      </c>
      <c r="AF158" s="7" t="s">
        <v>340</v>
      </c>
      <c r="AG158" s="7" t="s">
        <v>340</v>
      </c>
      <c r="AH158" s="5">
        <v>1</v>
      </c>
      <c r="AI158" s="5">
        <v>1</v>
      </c>
      <c r="AJ158" s="9">
        <f>IF(AND(ISNUMBER(F158),ISNUMBER(G158),ISNUMBER(K158),ISNUMBER(L158)),ACOS(MIN(1,COS(RADIANS(90-F158))*COS(RADIANS(90-K158))+SIN(RADIANS(90-F158))*SIN(RADIANS(90-K158))*COS(RADIANS(G158-L158))))*6371,"N/A")</f>
        <v>647.71278780838543</v>
      </c>
      <c r="AK158" s="10">
        <f>IF(AND(ISNUMBER(F158),ISNUMBER(G158),ISNUMBER(K158),ISNUMBER(L158)),MOD(DEGREES(ATAN2(COS(RADIANS(K158))*SIN(RADIANS(F158))-SIN(RADIANS(K158))*COS(RADIANS(F158))*COS(RADIANS(G158-L158)),SIN(RADIANS(G158-L158))*COS(RADIANS(F158))))+360,360),"N/A")</f>
        <v>186.61721724026151</v>
      </c>
      <c r="AL158" s="10" t="str">
        <f>IF(AND(ISNUMBER(F158),ISNUMBER(G158),ISNUMBER(M158),ISNUMBER(N158)),ACOS(MIN(1,COS(RADIANS(90-F158))*COS(RADIANS(90-M158))+SIN(RADIANS(90-F158))*SIN(RADIANS(90-M158))*COS(RADIANS(G158-N158))))*6371,"N/A")</f>
        <v>N/A</v>
      </c>
      <c r="AM158" s="10" t="str">
        <f>IF(AND(ISNUMBER(F158),ISNUMBER(G158),ISNUMBER(M158),ISNUMBER(N158)),MOD(DEGREES(ATAN2(COS(RADIANS(M158))*SIN(RADIANS(F158))-SIN(RADIANS(M158))*COS(RADIANS(F158))*COS(RADIANS(G158-N158)),SIN(RADIANS(G158-N158))*COS(RADIANS(F158))))+360,360),"N/A")</f>
        <v>N/A</v>
      </c>
      <c r="AN158" s="2"/>
      <c r="AO158" s="2"/>
    </row>
    <row r="159" spans="1:41" x14ac:dyDescent="0.2">
      <c r="A159" s="4" t="s">
        <v>642</v>
      </c>
      <c r="B159" s="4" t="s">
        <v>641</v>
      </c>
      <c r="C159" s="5" t="s">
        <v>340</v>
      </c>
      <c r="D159" s="4" t="s">
        <v>70</v>
      </c>
      <c r="E159" s="4" t="s">
        <v>101</v>
      </c>
      <c r="F159" s="15">
        <v>36.254170000000002</v>
      </c>
      <c r="G159" s="15">
        <v>17.574000000000002</v>
      </c>
      <c r="H159" s="16" t="s">
        <v>644</v>
      </c>
      <c r="I159" s="4" t="s">
        <v>643</v>
      </c>
      <c r="J159" s="4" t="s">
        <v>42</v>
      </c>
      <c r="K159" s="6">
        <v>37.747999999999998</v>
      </c>
      <c r="L159" s="6">
        <v>14.999000000000001</v>
      </c>
      <c r="M159" s="5" t="s">
        <v>340</v>
      </c>
      <c r="N159" s="5" t="s">
        <v>340</v>
      </c>
      <c r="O159" s="4" t="s">
        <v>874</v>
      </c>
      <c r="P159" s="5">
        <v>11</v>
      </c>
      <c r="Q159" s="5" t="s">
        <v>340</v>
      </c>
      <c r="R159" s="4" t="s">
        <v>41</v>
      </c>
      <c r="S159" s="4" t="s">
        <v>1121</v>
      </c>
      <c r="T159" s="7">
        <v>17048</v>
      </c>
      <c r="U159" s="7">
        <v>17294</v>
      </c>
      <c r="V159" s="7">
        <v>17717</v>
      </c>
      <c r="W159" s="15" t="s">
        <v>934</v>
      </c>
      <c r="X159" s="15" t="s">
        <v>1365</v>
      </c>
      <c r="Y159" s="7">
        <v>14650</v>
      </c>
      <c r="Z159" s="7">
        <v>90</v>
      </c>
      <c r="AA159" s="7" t="s">
        <v>340</v>
      </c>
      <c r="AB159" s="7" t="s">
        <v>340</v>
      </c>
      <c r="AC159" s="7">
        <v>16440</v>
      </c>
      <c r="AD159" s="7">
        <v>820</v>
      </c>
      <c r="AE159" s="7">
        <v>17304</v>
      </c>
      <c r="AF159" s="7">
        <v>152</v>
      </c>
      <c r="AG159" s="7" t="s">
        <v>340</v>
      </c>
      <c r="AH159" s="5">
        <v>1</v>
      </c>
      <c r="AI159" s="5">
        <v>1</v>
      </c>
      <c r="AJ159" s="9">
        <f>IF(AND(ISNUMBER(F159),ISNUMBER(G159),ISNUMBER(K159),ISNUMBER(L159)),ACOS(MIN(1,COS(RADIANS(90-F159))*COS(RADIANS(90-K159))+SIN(RADIANS(90-F159))*SIN(RADIANS(90-K159))*COS(RADIANS(G159-L159))))*6371,"N/A")</f>
        <v>282.61100666410266</v>
      </c>
      <c r="AK159" s="10">
        <f>IF(AND(ISNUMBER(F159),ISNUMBER(G159),ISNUMBER(K159),ISNUMBER(L159)),MOD(DEGREES(ATAN2(COS(RADIANS(K159))*SIN(RADIANS(F159))-SIN(RADIANS(K159))*COS(RADIANS(F159))*COS(RADIANS(G159-L159)),SIN(RADIANS(G159-L159))*COS(RADIANS(F159))))+360,360),"N/A")</f>
        <v>125.21464859589429</v>
      </c>
      <c r="AL159" s="10" t="str">
        <f>IF(AND(ISNUMBER(F159),ISNUMBER(G159),ISNUMBER(M159),ISNUMBER(N159)),ACOS(MIN(1,COS(RADIANS(90-F159))*COS(RADIANS(90-M159))+SIN(RADIANS(90-F159))*SIN(RADIANS(90-M159))*COS(RADIANS(G159-N159))))*6371,"N/A")</f>
        <v>N/A</v>
      </c>
      <c r="AM159" s="10" t="str">
        <f>IF(AND(ISNUMBER(F159),ISNUMBER(G159),ISNUMBER(M159),ISNUMBER(N159)),MOD(DEGREES(ATAN2(COS(RADIANS(M159))*SIN(RADIANS(F159))-SIN(RADIANS(M159))*COS(RADIANS(F159))*COS(RADIANS(G159-N159)),SIN(RADIANS(G159-N159))*COS(RADIANS(F159))))+360,360),"N/A")</f>
        <v>N/A</v>
      </c>
      <c r="AN159" s="2"/>
      <c r="AO159" s="2"/>
    </row>
    <row r="160" spans="1:41" x14ac:dyDescent="0.2">
      <c r="A160" s="4" t="s">
        <v>1047</v>
      </c>
      <c r="B160" s="4" t="s">
        <v>641</v>
      </c>
      <c r="C160" s="5" t="s">
        <v>340</v>
      </c>
      <c r="D160" s="4" t="s">
        <v>70</v>
      </c>
      <c r="E160" s="4" t="s">
        <v>101</v>
      </c>
      <c r="F160" s="15">
        <v>36.254170000000002</v>
      </c>
      <c r="G160" s="15">
        <v>17.574000000000002</v>
      </c>
      <c r="H160" s="16">
        <v>-3643</v>
      </c>
      <c r="I160" s="4" t="s">
        <v>643</v>
      </c>
      <c r="J160" s="4" t="s">
        <v>1063</v>
      </c>
      <c r="K160" s="6">
        <v>37.747999999999998</v>
      </c>
      <c r="L160" s="6">
        <v>14.999000000000001</v>
      </c>
      <c r="M160" s="5">
        <v>38.404000000000003</v>
      </c>
      <c r="N160" s="5">
        <v>14.962</v>
      </c>
      <c r="O160" s="4" t="s">
        <v>1075</v>
      </c>
      <c r="P160" s="5" t="s">
        <v>1048</v>
      </c>
      <c r="Q160" s="5" t="s">
        <v>340</v>
      </c>
      <c r="R160" s="4" t="s">
        <v>41</v>
      </c>
      <c r="S160" s="4" t="s">
        <v>1121</v>
      </c>
      <c r="T160" s="7">
        <v>18300</v>
      </c>
      <c r="U160" s="7">
        <f>AVERAGE(V160,T160)</f>
        <v>18500</v>
      </c>
      <c r="V160" s="7">
        <v>18700</v>
      </c>
      <c r="W160" s="15" t="s">
        <v>900</v>
      </c>
      <c r="X160" s="15" t="s">
        <v>643</v>
      </c>
      <c r="Y160" s="7" t="s">
        <v>340</v>
      </c>
      <c r="Z160" s="7" t="s">
        <v>340</v>
      </c>
      <c r="AA160" s="7" t="s">
        <v>340</v>
      </c>
      <c r="AB160" s="7" t="s">
        <v>340</v>
      </c>
      <c r="AC160" s="7" t="s">
        <v>340</v>
      </c>
      <c r="AD160" s="7" t="s">
        <v>340</v>
      </c>
      <c r="AE160" s="7">
        <v>18500</v>
      </c>
      <c r="AF160" s="7">
        <v>200</v>
      </c>
      <c r="AG160" s="7" t="s">
        <v>340</v>
      </c>
      <c r="AH160" s="5">
        <v>1</v>
      </c>
      <c r="AI160" s="5">
        <v>2</v>
      </c>
      <c r="AJ160" s="9">
        <f>IF(AND(ISNUMBER(F160),ISNUMBER(G160),ISNUMBER(K160),ISNUMBER(L160)),ACOS(MIN(1,COS(RADIANS(90-F160))*COS(RADIANS(90-K160))+SIN(RADIANS(90-F160))*SIN(RADIANS(90-K160))*COS(RADIANS(G160-L160))))*6371,"N/A")</f>
        <v>282.61100666410266</v>
      </c>
      <c r="AK160" s="10">
        <f>IF(AND(ISNUMBER(F160),ISNUMBER(G160),ISNUMBER(K160),ISNUMBER(L160)),MOD(DEGREES(ATAN2(COS(RADIANS(K160))*SIN(RADIANS(F160))-SIN(RADIANS(K160))*COS(RADIANS(F160))*COS(RADIANS(G160-L160)),SIN(RADIANS(G160-L160))*COS(RADIANS(F160))))+360,360),"N/A")</f>
        <v>125.21464859589429</v>
      </c>
      <c r="AL160" s="10">
        <f>IF(AND(ISNUMBER(F160),ISNUMBER(G160),ISNUMBER(M160),ISNUMBER(N160)),ACOS(MIN(1,COS(RADIANS(90-F160))*COS(RADIANS(90-M160))+SIN(RADIANS(90-F160))*SIN(RADIANS(90-M160))*COS(RADIANS(G160-N160))))*6371,"N/A")</f>
        <v>332.35792964561392</v>
      </c>
      <c r="AM160" s="10">
        <f>IF(AND(ISNUMBER(F160),ISNUMBER(G160),ISNUMBER(M160),ISNUMBER(N160)),MOD(DEGREES(ATAN2(COS(RADIANS(M160))*SIN(RADIANS(F160))-SIN(RADIANS(M160))*COS(RADIANS(F160))*COS(RADIANS(G160-N160)),SIN(RADIANS(G160-N160))*COS(RADIANS(F160))))+360,360),"N/A")</f>
        <v>135.18869157891936</v>
      </c>
      <c r="AN160" s="2"/>
      <c r="AO160" s="2"/>
    </row>
    <row r="161" spans="1:41" x14ac:dyDescent="0.2">
      <c r="A161" s="4" t="s">
        <v>658</v>
      </c>
      <c r="B161" s="4" t="s">
        <v>646</v>
      </c>
      <c r="C161" s="5" t="s">
        <v>340</v>
      </c>
      <c r="D161" s="4" t="s">
        <v>70</v>
      </c>
      <c r="E161" s="4" t="s">
        <v>89</v>
      </c>
      <c r="F161" s="15">
        <v>38.742882999999999</v>
      </c>
      <c r="G161" s="15">
        <v>15.803933000000001</v>
      </c>
      <c r="H161" s="16">
        <v>-604</v>
      </c>
      <c r="I161" s="4" t="s">
        <v>982</v>
      </c>
      <c r="J161" s="4" t="s">
        <v>42</v>
      </c>
      <c r="K161" s="6">
        <v>37.747999999999998</v>
      </c>
      <c r="L161" s="6">
        <v>14.999000000000001</v>
      </c>
      <c r="M161" s="5" t="s">
        <v>340</v>
      </c>
      <c r="N161" s="5" t="s">
        <v>340</v>
      </c>
      <c r="O161" s="4" t="s">
        <v>424</v>
      </c>
      <c r="P161" s="5">
        <v>8</v>
      </c>
      <c r="Q161" s="5" t="s">
        <v>340</v>
      </c>
      <c r="R161" s="4" t="s">
        <v>184</v>
      </c>
      <c r="S161" s="4" t="s">
        <v>927</v>
      </c>
      <c r="T161" s="7">
        <v>3213</v>
      </c>
      <c r="U161" s="7">
        <v>3368</v>
      </c>
      <c r="V161" s="7">
        <v>3481</v>
      </c>
      <c r="W161" s="15" t="s">
        <v>909</v>
      </c>
      <c r="X161" s="15" t="s">
        <v>1367</v>
      </c>
      <c r="Y161" s="7">
        <v>3150</v>
      </c>
      <c r="Z161" s="7">
        <v>60</v>
      </c>
      <c r="AA161" s="7" t="s">
        <v>340</v>
      </c>
      <c r="AB161" s="7" t="s">
        <v>340</v>
      </c>
      <c r="AC161" s="7" t="s">
        <v>340</v>
      </c>
      <c r="AD161" s="7" t="s">
        <v>340</v>
      </c>
      <c r="AE161" s="7" t="s">
        <v>340</v>
      </c>
      <c r="AF161" s="7" t="s">
        <v>340</v>
      </c>
      <c r="AG161" s="7" t="s">
        <v>340</v>
      </c>
      <c r="AH161" s="5">
        <v>1</v>
      </c>
      <c r="AI161" s="5">
        <v>1</v>
      </c>
      <c r="AJ161" s="9">
        <f>IF(AND(ISNUMBER(F161),ISNUMBER(G161),ISNUMBER(K161),ISNUMBER(L161)),ACOS(MIN(1,COS(RADIANS(90-F161))*COS(RADIANS(90-K161))+SIN(RADIANS(90-F161))*SIN(RADIANS(90-K161))*COS(RADIANS(G161-L161))))*6371,"N/A")</f>
        <v>131.06840968070614</v>
      </c>
      <c r="AK161" s="10">
        <f>IF(AND(ISNUMBER(F161),ISNUMBER(G161),ISNUMBER(K161),ISNUMBER(L161)),MOD(DEGREES(ATAN2(COS(RADIANS(K161))*SIN(RADIANS(F161))-SIN(RADIANS(K161))*COS(RADIANS(F161))*COS(RADIANS(G161-L161)),SIN(RADIANS(G161-L161))*COS(RADIANS(F161))))+360,360),"N/A")</f>
        <v>32.184237025175094</v>
      </c>
      <c r="AL161" s="10" t="str">
        <f>IF(AND(ISNUMBER(F161),ISNUMBER(G161),ISNUMBER(M161),ISNUMBER(N161)),ACOS(MIN(1,COS(RADIANS(90-F161))*COS(RADIANS(90-M161))+SIN(RADIANS(90-F161))*SIN(RADIANS(90-M161))*COS(RADIANS(G161-N161))))*6371,"N/A")</f>
        <v>N/A</v>
      </c>
      <c r="AM161" s="10" t="str">
        <f>IF(AND(ISNUMBER(F161),ISNUMBER(G161),ISNUMBER(M161),ISNUMBER(N161)),MOD(DEGREES(ATAN2(COS(RADIANS(M161))*SIN(RADIANS(F161))-SIN(RADIANS(M161))*COS(RADIANS(F161))*COS(RADIANS(G161-N161)),SIN(RADIANS(G161-N161))*COS(RADIANS(F161))))+360,360),"N/A")</f>
        <v>N/A</v>
      </c>
      <c r="AN161" s="2"/>
      <c r="AO161" s="2"/>
    </row>
    <row r="162" spans="1:41" x14ac:dyDescent="0.2">
      <c r="A162" s="4" t="s">
        <v>655</v>
      </c>
      <c r="B162" s="4" t="s">
        <v>646</v>
      </c>
      <c r="C162" s="5" t="s">
        <v>340</v>
      </c>
      <c r="D162" s="4" t="s">
        <v>70</v>
      </c>
      <c r="E162" s="4" t="s">
        <v>89</v>
      </c>
      <c r="F162" s="15">
        <v>38.742882999999999</v>
      </c>
      <c r="G162" s="15">
        <v>15.803933000000001</v>
      </c>
      <c r="H162" s="16">
        <v>-604</v>
      </c>
      <c r="I162" s="4" t="s">
        <v>982</v>
      </c>
      <c r="J162" s="4" t="s">
        <v>42</v>
      </c>
      <c r="K162" s="6">
        <v>37.747999999999998</v>
      </c>
      <c r="L162" s="6">
        <v>14.999000000000001</v>
      </c>
      <c r="M162" s="5" t="s">
        <v>340</v>
      </c>
      <c r="N162" s="5" t="s">
        <v>340</v>
      </c>
      <c r="O162" s="4" t="s">
        <v>424</v>
      </c>
      <c r="P162" s="5" t="s">
        <v>340</v>
      </c>
      <c r="Q162" s="5" t="s">
        <v>340</v>
      </c>
      <c r="R162" s="4" t="s">
        <v>184</v>
      </c>
      <c r="S162" s="4" t="s">
        <v>927</v>
      </c>
      <c r="T162" s="7">
        <v>3213</v>
      </c>
      <c r="U162" s="7">
        <v>3368</v>
      </c>
      <c r="V162" s="7">
        <v>3481</v>
      </c>
      <c r="W162" s="15" t="s">
        <v>909</v>
      </c>
      <c r="X162" s="15" t="s">
        <v>1367</v>
      </c>
      <c r="Y162" s="7">
        <v>3150</v>
      </c>
      <c r="Z162" s="7">
        <v>60</v>
      </c>
      <c r="AA162" s="7" t="s">
        <v>340</v>
      </c>
      <c r="AB162" s="7" t="s">
        <v>340</v>
      </c>
      <c r="AC162" s="7" t="s">
        <v>340</v>
      </c>
      <c r="AD162" s="7" t="s">
        <v>340</v>
      </c>
      <c r="AE162" s="7" t="s">
        <v>340</v>
      </c>
      <c r="AF162" s="7" t="s">
        <v>340</v>
      </c>
      <c r="AG162" s="7" t="s">
        <v>340</v>
      </c>
      <c r="AH162" s="5">
        <v>1</v>
      </c>
      <c r="AI162" s="5">
        <v>1</v>
      </c>
      <c r="AJ162" s="9">
        <f>IF(AND(ISNUMBER(F162),ISNUMBER(G162),ISNUMBER(K162),ISNUMBER(L162)),ACOS(MIN(1,COS(RADIANS(90-F162))*COS(RADIANS(90-K162))+SIN(RADIANS(90-F162))*SIN(RADIANS(90-K162))*COS(RADIANS(G162-L162))))*6371,"N/A")</f>
        <v>131.06840968070614</v>
      </c>
      <c r="AK162" s="10">
        <f>IF(AND(ISNUMBER(F162),ISNUMBER(G162),ISNUMBER(K162),ISNUMBER(L162)),MOD(DEGREES(ATAN2(COS(RADIANS(K162))*SIN(RADIANS(F162))-SIN(RADIANS(K162))*COS(RADIANS(F162))*COS(RADIANS(G162-L162)),SIN(RADIANS(G162-L162))*COS(RADIANS(F162))))+360,360),"N/A")</f>
        <v>32.184237025175094</v>
      </c>
      <c r="AL162" s="10" t="str">
        <f>IF(AND(ISNUMBER(F162),ISNUMBER(G162),ISNUMBER(M162),ISNUMBER(N162)),ACOS(MIN(1,COS(RADIANS(90-F162))*COS(RADIANS(90-M162))+SIN(RADIANS(90-F162))*SIN(RADIANS(90-M162))*COS(RADIANS(G162-N162))))*6371,"N/A")</f>
        <v>N/A</v>
      </c>
      <c r="AM162" s="10" t="str">
        <f>IF(AND(ISNUMBER(F162),ISNUMBER(G162),ISNUMBER(M162),ISNUMBER(N162)),MOD(DEGREES(ATAN2(COS(RADIANS(M162))*SIN(RADIANS(F162))-SIN(RADIANS(M162))*COS(RADIANS(F162))*COS(RADIANS(G162-N162)),SIN(RADIANS(G162-N162))*COS(RADIANS(F162))))+360,360),"N/A")</f>
        <v>N/A</v>
      </c>
      <c r="AN162" s="2"/>
      <c r="AO162" s="2"/>
    </row>
    <row r="163" spans="1:41" x14ac:dyDescent="0.2">
      <c r="A163" s="4" t="s">
        <v>654</v>
      </c>
      <c r="B163" s="4" t="s">
        <v>646</v>
      </c>
      <c r="C163" s="5" t="s">
        <v>340</v>
      </c>
      <c r="D163" s="4" t="s">
        <v>70</v>
      </c>
      <c r="E163" s="4" t="s">
        <v>89</v>
      </c>
      <c r="F163" s="15">
        <v>38.742882999999999</v>
      </c>
      <c r="G163" s="15">
        <v>15.803933000000001</v>
      </c>
      <c r="H163" s="16">
        <v>-604</v>
      </c>
      <c r="I163" s="4" t="s">
        <v>982</v>
      </c>
      <c r="J163" s="4" t="s">
        <v>42</v>
      </c>
      <c r="K163" s="6">
        <v>37.747999999999998</v>
      </c>
      <c r="L163" s="6">
        <v>14.999000000000001</v>
      </c>
      <c r="M163" s="5" t="s">
        <v>340</v>
      </c>
      <c r="N163" s="5" t="s">
        <v>340</v>
      </c>
      <c r="O163" s="4" t="s">
        <v>424</v>
      </c>
      <c r="P163" s="5" t="s">
        <v>340</v>
      </c>
      <c r="Q163" s="5" t="s">
        <v>340</v>
      </c>
      <c r="R163" s="4" t="s">
        <v>184</v>
      </c>
      <c r="S163" s="4" t="s">
        <v>927</v>
      </c>
      <c r="T163" s="7">
        <v>3213</v>
      </c>
      <c r="U163" s="7">
        <v>3368</v>
      </c>
      <c r="V163" s="7">
        <v>3481</v>
      </c>
      <c r="W163" s="15" t="s">
        <v>909</v>
      </c>
      <c r="X163" s="15" t="s">
        <v>1367</v>
      </c>
      <c r="Y163" s="7">
        <v>3150</v>
      </c>
      <c r="Z163" s="7">
        <v>60</v>
      </c>
      <c r="AA163" s="7" t="s">
        <v>340</v>
      </c>
      <c r="AB163" s="7" t="s">
        <v>340</v>
      </c>
      <c r="AC163" s="7" t="s">
        <v>340</v>
      </c>
      <c r="AD163" s="7" t="s">
        <v>340</v>
      </c>
      <c r="AE163" s="7" t="s">
        <v>340</v>
      </c>
      <c r="AF163" s="7" t="s">
        <v>340</v>
      </c>
      <c r="AG163" s="7" t="s">
        <v>340</v>
      </c>
      <c r="AH163" s="5">
        <v>1</v>
      </c>
      <c r="AI163" s="5">
        <v>1</v>
      </c>
      <c r="AJ163" s="9">
        <f>IF(AND(ISNUMBER(F163),ISNUMBER(G163),ISNUMBER(K163),ISNUMBER(L163)),ACOS(MIN(1,COS(RADIANS(90-F163))*COS(RADIANS(90-K163))+SIN(RADIANS(90-F163))*SIN(RADIANS(90-K163))*COS(RADIANS(G163-L163))))*6371,"N/A")</f>
        <v>131.06840968070614</v>
      </c>
      <c r="AK163" s="10">
        <f>IF(AND(ISNUMBER(F163),ISNUMBER(G163),ISNUMBER(K163),ISNUMBER(L163)),MOD(DEGREES(ATAN2(COS(RADIANS(K163))*SIN(RADIANS(F163))-SIN(RADIANS(K163))*COS(RADIANS(F163))*COS(RADIANS(G163-L163)),SIN(RADIANS(G163-L163))*COS(RADIANS(F163))))+360,360),"N/A")</f>
        <v>32.184237025175094</v>
      </c>
      <c r="AL163" s="10" t="str">
        <f>IF(AND(ISNUMBER(F163),ISNUMBER(G163),ISNUMBER(M163),ISNUMBER(N163)),ACOS(MIN(1,COS(RADIANS(90-F163))*COS(RADIANS(90-M163))+SIN(RADIANS(90-F163))*SIN(RADIANS(90-M163))*COS(RADIANS(G163-N163))))*6371,"N/A")</f>
        <v>N/A</v>
      </c>
      <c r="AM163" s="10" t="str">
        <f>IF(AND(ISNUMBER(F163),ISNUMBER(G163),ISNUMBER(M163),ISNUMBER(N163)),MOD(DEGREES(ATAN2(COS(RADIANS(M163))*SIN(RADIANS(F163))-SIN(RADIANS(M163))*COS(RADIANS(F163))*COS(RADIANS(G163-N163)),SIN(RADIANS(G163-N163))*COS(RADIANS(F163))))+360,360),"N/A")</f>
        <v>N/A</v>
      </c>
      <c r="AN163" s="2"/>
      <c r="AO163" s="2"/>
    </row>
    <row r="164" spans="1:41" x14ac:dyDescent="0.2">
      <c r="A164" s="4" t="s">
        <v>656</v>
      </c>
      <c r="B164" s="4" t="s">
        <v>646</v>
      </c>
      <c r="C164" s="5" t="s">
        <v>340</v>
      </c>
      <c r="D164" s="4" t="s">
        <v>70</v>
      </c>
      <c r="E164" s="4" t="s">
        <v>89</v>
      </c>
      <c r="F164" s="15">
        <v>38.742882999999999</v>
      </c>
      <c r="G164" s="15">
        <v>15.803933000000001</v>
      </c>
      <c r="H164" s="16">
        <v>-604</v>
      </c>
      <c r="I164" s="4" t="s">
        <v>982</v>
      </c>
      <c r="J164" s="4" t="s">
        <v>42</v>
      </c>
      <c r="K164" s="6">
        <v>37.747999999999998</v>
      </c>
      <c r="L164" s="6">
        <v>14.999000000000001</v>
      </c>
      <c r="M164" s="5" t="s">
        <v>340</v>
      </c>
      <c r="N164" s="5" t="s">
        <v>340</v>
      </c>
      <c r="O164" s="4" t="s">
        <v>424</v>
      </c>
      <c r="P164" s="5" t="s">
        <v>340</v>
      </c>
      <c r="Q164" s="5" t="s">
        <v>340</v>
      </c>
      <c r="R164" s="4" t="s">
        <v>184</v>
      </c>
      <c r="S164" s="4" t="s">
        <v>927</v>
      </c>
      <c r="T164" s="7">
        <v>3213</v>
      </c>
      <c r="U164" s="7">
        <v>3368</v>
      </c>
      <c r="V164" s="7">
        <v>3481</v>
      </c>
      <c r="W164" s="15" t="s">
        <v>909</v>
      </c>
      <c r="X164" s="15" t="s">
        <v>1367</v>
      </c>
      <c r="Y164" s="7">
        <v>3150</v>
      </c>
      <c r="Z164" s="7">
        <v>60</v>
      </c>
      <c r="AA164" s="7" t="s">
        <v>340</v>
      </c>
      <c r="AB164" s="7" t="s">
        <v>340</v>
      </c>
      <c r="AC164" s="7" t="s">
        <v>340</v>
      </c>
      <c r="AD164" s="7" t="s">
        <v>340</v>
      </c>
      <c r="AE164" s="7" t="s">
        <v>340</v>
      </c>
      <c r="AF164" s="7" t="s">
        <v>340</v>
      </c>
      <c r="AG164" s="7" t="s">
        <v>340</v>
      </c>
      <c r="AH164" s="5">
        <v>1</v>
      </c>
      <c r="AI164" s="5">
        <v>1</v>
      </c>
      <c r="AJ164" s="9">
        <f>IF(AND(ISNUMBER(F164),ISNUMBER(G164),ISNUMBER(K164),ISNUMBER(L164)),ACOS(MIN(1,COS(RADIANS(90-F164))*COS(RADIANS(90-K164))+SIN(RADIANS(90-F164))*SIN(RADIANS(90-K164))*COS(RADIANS(G164-L164))))*6371,"N/A")</f>
        <v>131.06840968070614</v>
      </c>
      <c r="AK164" s="10">
        <f>IF(AND(ISNUMBER(F164),ISNUMBER(G164),ISNUMBER(K164),ISNUMBER(L164)),MOD(DEGREES(ATAN2(COS(RADIANS(K164))*SIN(RADIANS(F164))-SIN(RADIANS(K164))*COS(RADIANS(F164))*COS(RADIANS(G164-L164)),SIN(RADIANS(G164-L164))*COS(RADIANS(F164))))+360,360),"N/A")</f>
        <v>32.184237025175094</v>
      </c>
      <c r="AL164" s="10" t="str">
        <f>IF(AND(ISNUMBER(F164),ISNUMBER(G164),ISNUMBER(M164),ISNUMBER(N164)),ACOS(MIN(1,COS(RADIANS(90-F164))*COS(RADIANS(90-M164))+SIN(RADIANS(90-F164))*SIN(RADIANS(90-M164))*COS(RADIANS(G164-N164))))*6371,"N/A")</f>
        <v>N/A</v>
      </c>
      <c r="AM164" s="10" t="str">
        <f>IF(AND(ISNUMBER(F164),ISNUMBER(G164),ISNUMBER(M164),ISNUMBER(N164)),MOD(DEGREES(ATAN2(COS(RADIANS(M164))*SIN(RADIANS(F164))-SIN(RADIANS(M164))*COS(RADIANS(F164))*COS(RADIANS(G164-N164)),SIN(RADIANS(G164-N164))*COS(RADIANS(F164))))+360,360),"N/A")</f>
        <v>N/A</v>
      </c>
      <c r="AN164" s="2"/>
      <c r="AO164" s="2"/>
    </row>
    <row r="165" spans="1:41" x14ac:dyDescent="0.2">
      <c r="A165" s="4" t="s">
        <v>659</v>
      </c>
      <c r="B165" s="4" t="s">
        <v>646</v>
      </c>
      <c r="C165" s="5" t="s">
        <v>340</v>
      </c>
      <c r="D165" s="4" t="s">
        <v>70</v>
      </c>
      <c r="E165" s="4" t="s">
        <v>89</v>
      </c>
      <c r="F165" s="15">
        <v>38.742882999999999</v>
      </c>
      <c r="G165" s="15">
        <v>15.803933000000001</v>
      </c>
      <c r="H165" s="16">
        <v>-604</v>
      </c>
      <c r="I165" s="4" t="s">
        <v>982</v>
      </c>
      <c r="J165" s="4" t="s">
        <v>16</v>
      </c>
      <c r="K165" s="6">
        <v>40.820999999999998</v>
      </c>
      <c r="L165" s="6">
        <v>14.426</v>
      </c>
      <c r="M165" s="5" t="s">
        <v>340</v>
      </c>
      <c r="N165" s="5" t="s">
        <v>340</v>
      </c>
      <c r="O165" s="4" t="s">
        <v>879</v>
      </c>
      <c r="P165" s="5" t="s">
        <v>340</v>
      </c>
      <c r="Q165" s="5" t="s">
        <v>340</v>
      </c>
      <c r="R165" s="4" t="s">
        <v>184</v>
      </c>
      <c r="S165" s="4" t="s">
        <v>1121</v>
      </c>
      <c r="T165" s="7">
        <v>1871</v>
      </c>
      <c r="U165" s="7">
        <v>1871</v>
      </c>
      <c r="V165" s="7">
        <v>1871</v>
      </c>
      <c r="W165" s="15" t="s">
        <v>898</v>
      </c>
      <c r="X165" s="15" t="s">
        <v>332</v>
      </c>
      <c r="Y165" s="7" t="s">
        <v>340</v>
      </c>
      <c r="Z165" s="7" t="s">
        <v>340</v>
      </c>
      <c r="AA165" s="7" t="s">
        <v>340</v>
      </c>
      <c r="AB165" s="7" t="s">
        <v>340</v>
      </c>
      <c r="AC165" s="7" t="s">
        <v>340</v>
      </c>
      <c r="AD165" s="7" t="s">
        <v>340</v>
      </c>
      <c r="AE165" s="7" t="s">
        <v>340</v>
      </c>
      <c r="AF165" s="7" t="s">
        <v>340</v>
      </c>
      <c r="AG165" s="7" t="s">
        <v>905</v>
      </c>
      <c r="AH165" s="5">
        <v>1</v>
      </c>
      <c r="AI165" s="5">
        <v>1</v>
      </c>
      <c r="AJ165" s="9">
        <f>IF(AND(ISNUMBER(F165),ISNUMBER(G165),ISNUMBER(K165),ISNUMBER(L165)),ACOS(MIN(1,COS(RADIANS(90-F165))*COS(RADIANS(90-K165))+SIN(RADIANS(90-F165))*SIN(RADIANS(90-K165))*COS(RADIANS(G165-L165))))*6371,"N/A")</f>
        <v>259.3365963020272</v>
      </c>
      <c r="AK165" s="10">
        <f>IF(AND(ISNUMBER(F165),ISNUMBER(G165),ISNUMBER(K165),ISNUMBER(L165)),MOD(DEGREES(ATAN2(COS(RADIANS(K165))*SIN(RADIANS(F165))-SIN(RADIANS(K165))*COS(RADIANS(F165))*COS(RADIANS(G165-L165)),SIN(RADIANS(G165-L165))*COS(RADIANS(F165))))+360,360),"N/A")</f>
        <v>152.55519888993354</v>
      </c>
      <c r="AL165" s="10" t="str">
        <f>IF(AND(ISNUMBER(F165),ISNUMBER(G165),ISNUMBER(M165),ISNUMBER(N165)),ACOS(MIN(1,COS(RADIANS(90-F165))*COS(RADIANS(90-M165))+SIN(RADIANS(90-F165))*SIN(RADIANS(90-M165))*COS(RADIANS(G165-N165))))*6371,"N/A")</f>
        <v>N/A</v>
      </c>
      <c r="AM165" s="10" t="str">
        <f>IF(AND(ISNUMBER(F165),ISNUMBER(G165),ISNUMBER(M165),ISNUMBER(N165)),MOD(DEGREES(ATAN2(COS(RADIANS(M165))*SIN(RADIANS(F165))-SIN(RADIANS(M165))*COS(RADIANS(F165))*COS(RADIANS(G165-N165)),SIN(RADIANS(G165-N165))*COS(RADIANS(F165))))+360,360),"N/A")</f>
        <v>N/A</v>
      </c>
      <c r="AN165" s="2"/>
      <c r="AO165" s="2"/>
    </row>
    <row r="166" spans="1:41" x14ac:dyDescent="0.2">
      <c r="A166" s="4" t="s">
        <v>657</v>
      </c>
      <c r="B166" s="4" t="s">
        <v>646</v>
      </c>
      <c r="C166" s="5" t="s">
        <v>340</v>
      </c>
      <c r="D166" s="4" t="s">
        <v>70</v>
      </c>
      <c r="E166" s="4" t="s">
        <v>89</v>
      </c>
      <c r="F166" s="15">
        <v>38.742882999999999</v>
      </c>
      <c r="G166" s="15">
        <v>15.803933000000001</v>
      </c>
      <c r="H166" s="16">
        <v>-604</v>
      </c>
      <c r="I166" s="4" t="s">
        <v>982</v>
      </c>
      <c r="J166" s="4" t="s">
        <v>35</v>
      </c>
      <c r="K166" s="6">
        <v>38.404000000000003</v>
      </c>
      <c r="L166" s="6">
        <v>14.962</v>
      </c>
      <c r="M166" s="5" t="s">
        <v>340</v>
      </c>
      <c r="N166" s="5" t="s">
        <v>340</v>
      </c>
      <c r="O166" s="4" t="s">
        <v>14</v>
      </c>
      <c r="P166" s="5" t="s">
        <v>340</v>
      </c>
      <c r="Q166" s="5" t="s">
        <v>340</v>
      </c>
      <c r="R166" s="4" t="s">
        <v>184</v>
      </c>
      <c r="S166" s="4" t="s">
        <v>1121</v>
      </c>
      <c r="T166" s="7">
        <v>3402</v>
      </c>
      <c r="U166" s="7">
        <v>3658</v>
      </c>
      <c r="V166" s="7">
        <v>3913</v>
      </c>
      <c r="W166" s="15" t="s">
        <v>1349</v>
      </c>
      <c r="X166" s="15" t="s">
        <v>1377</v>
      </c>
      <c r="Y166" s="7">
        <v>3720</v>
      </c>
      <c r="Z166" s="7">
        <v>71</v>
      </c>
      <c r="AA166" s="7" t="s">
        <v>340</v>
      </c>
      <c r="AB166" s="7" t="s">
        <v>340</v>
      </c>
      <c r="AC166" s="7" t="s">
        <v>340</v>
      </c>
      <c r="AD166" s="7" t="s">
        <v>340</v>
      </c>
      <c r="AE166" s="7" t="s">
        <v>340</v>
      </c>
      <c r="AF166" s="7" t="s">
        <v>340</v>
      </c>
      <c r="AG166" s="7" t="s">
        <v>340</v>
      </c>
      <c r="AH166" s="5">
        <v>1</v>
      </c>
      <c r="AI166" s="5">
        <v>1</v>
      </c>
      <c r="AJ166" s="9">
        <f>IF(AND(ISNUMBER(F166),ISNUMBER(G166),ISNUMBER(K166),ISNUMBER(L166)),ACOS(MIN(1,COS(RADIANS(90-F166))*COS(RADIANS(90-K166))+SIN(RADIANS(90-F166))*SIN(RADIANS(90-K166))*COS(RADIANS(G166-L166))))*6371,"N/A")</f>
        <v>82.322058724715802</v>
      </c>
      <c r="AK166" s="10">
        <f>IF(AND(ISNUMBER(F166),ISNUMBER(G166),ISNUMBER(K166),ISNUMBER(L166)),MOD(DEGREES(ATAN2(COS(RADIANS(K166))*SIN(RADIANS(F166))-SIN(RADIANS(K166))*COS(RADIANS(F166))*COS(RADIANS(G166-L166)),SIN(RADIANS(G166-L166))*COS(RADIANS(F166))))+360,360),"N/A")</f>
        <v>62.496802916530612</v>
      </c>
      <c r="AL166" s="10" t="str">
        <f>IF(AND(ISNUMBER(F166),ISNUMBER(G166),ISNUMBER(M166),ISNUMBER(N166)),ACOS(MIN(1,COS(RADIANS(90-F166))*COS(RADIANS(90-M166))+SIN(RADIANS(90-F166))*SIN(RADIANS(90-M166))*COS(RADIANS(G166-N166))))*6371,"N/A")</f>
        <v>N/A</v>
      </c>
      <c r="AM166" s="10" t="str">
        <f>IF(AND(ISNUMBER(F166),ISNUMBER(G166),ISNUMBER(M166),ISNUMBER(N166)),MOD(DEGREES(ATAN2(COS(RADIANS(M166))*SIN(RADIANS(F166))-SIN(RADIANS(M166))*COS(RADIANS(F166))*COS(RADIANS(G166-N166)),SIN(RADIANS(G166-N166))*COS(RADIANS(F166))))+360,360),"N/A")</f>
        <v>N/A</v>
      </c>
      <c r="AN166" s="2"/>
      <c r="AO166" s="2"/>
    </row>
    <row r="167" spans="1:41" x14ac:dyDescent="0.2">
      <c r="A167" s="4" t="s">
        <v>650</v>
      </c>
      <c r="B167" s="4" t="s">
        <v>648</v>
      </c>
      <c r="C167" s="5" t="s">
        <v>340</v>
      </c>
      <c r="D167" s="4" t="s">
        <v>70</v>
      </c>
      <c r="E167" s="4" t="s">
        <v>101</v>
      </c>
      <c r="F167" s="15">
        <v>39.216500000000003</v>
      </c>
      <c r="G167" s="15">
        <v>19.113</v>
      </c>
      <c r="H167" s="16">
        <v>-810</v>
      </c>
      <c r="I167" s="4" t="s">
        <v>982</v>
      </c>
      <c r="J167" s="4" t="s">
        <v>15</v>
      </c>
      <c r="K167" s="6">
        <v>40.826999999999998</v>
      </c>
      <c r="L167" s="6">
        <v>14.138999999999999</v>
      </c>
      <c r="M167" s="5" t="s">
        <v>340</v>
      </c>
      <c r="N167" s="5" t="s">
        <v>340</v>
      </c>
      <c r="O167" s="4" t="s">
        <v>868</v>
      </c>
      <c r="P167" s="5">
        <v>4</v>
      </c>
      <c r="Q167" s="5" t="s">
        <v>340</v>
      </c>
      <c r="R167" s="4" t="s">
        <v>184</v>
      </c>
      <c r="S167" s="4" t="s">
        <v>1121</v>
      </c>
      <c r="T167" s="7">
        <v>4483</v>
      </c>
      <c r="U167" s="7">
        <v>4540</v>
      </c>
      <c r="V167" s="7">
        <v>4627</v>
      </c>
      <c r="W167" s="15" t="s">
        <v>928</v>
      </c>
      <c r="X167" s="21" t="s">
        <v>1357</v>
      </c>
      <c r="Y167" s="7" t="s">
        <v>340</v>
      </c>
      <c r="Z167" s="7" t="s">
        <v>340</v>
      </c>
      <c r="AA167" s="7" t="s">
        <v>340</v>
      </c>
      <c r="AB167" s="7" t="s">
        <v>340</v>
      </c>
      <c r="AC167" s="7">
        <v>5390</v>
      </c>
      <c r="AD167" s="7">
        <v>270</v>
      </c>
      <c r="AE167" s="7">
        <v>4546</v>
      </c>
      <c r="AF167" s="7">
        <v>36</v>
      </c>
      <c r="AG167" s="7" t="s">
        <v>340</v>
      </c>
      <c r="AH167" s="5">
        <v>1</v>
      </c>
      <c r="AI167" s="5">
        <v>1</v>
      </c>
      <c r="AJ167" s="9">
        <f>IF(AND(ISNUMBER(F167),ISNUMBER(G167),ISNUMBER(K167),ISNUMBER(L167)),ACOS(MIN(1,COS(RADIANS(90-F167))*COS(RADIANS(90-K167))+SIN(RADIANS(90-F167))*SIN(RADIANS(90-K167))*COS(RADIANS(G167-L167))))*6371,"N/A")</f>
        <v>459.76297448676019</v>
      </c>
      <c r="AK167" s="10">
        <f>IF(AND(ISNUMBER(F167),ISNUMBER(G167),ISNUMBER(K167),ISNUMBER(L167)),MOD(DEGREES(ATAN2(COS(RADIANS(K167))*SIN(RADIANS(F167))-SIN(RADIANS(K167))*COS(RADIANS(F167))*COS(RADIANS(G167-L167)),SIN(RADIANS(G167-L167))*COS(RADIANS(F167))))+360,360),"N/A")</f>
        <v>111.3051802553648</v>
      </c>
      <c r="AL167" s="10" t="str">
        <f>IF(AND(ISNUMBER(F167),ISNUMBER(G167),ISNUMBER(M167),ISNUMBER(N167)),ACOS(MIN(1,COS(RADIANS(90-F167))*COS(RADIANS(90-M167))+SIN(RADIANS(90-F167))*SIN(RADIANS(90-M167))*COS(RADIANS(G167-N167))))*6371,"N/A")</f>
        <v>N/A</v>
      </c>
      <c r="AM167" s="10" t="str">
        <f>IF(AND(ISNUMBER(F167),ISNUMBER(G167),ISNUMBER(M167),ISNUMBER(N167)),MOD(DEGREES(ATAN2(COS(RADIANS(M167))*SIN(RADIANS(F167))-SIN(RADIANS(M167))*COS(RADIANS(F167))*COS(RADIANS(G167-N167)),SIN(RADIANS(G167-N167))*COS(RADIANS(F167))))+360,360),"N/A")</f>
        <v>N/A</v>
      </c>
      <c r="AN167" s="2"/>
      <c r="AO167" s="2"/>
    </row>
    <row r="168" spans="1:41" x14ac:dyDescent="0.2">
      <c r="A168" s="4" t="s">
        <v>649</v>
      </c>
      <c r="B168" s="4" t="s">
        <v>648</v>
      </c>
      <c r="C168" s="5" t="s">
        <v>340</v>
      </c>
      <c r="D168" s="4" t="s">
        <v>70</v>
      </c>
      <c r="E168" s="4" t="s">
        <v>101</v>
      </c>
      <c r="F168" s="15">
        <v>39.216500000000003</v>
      </c>
      <c r="G168" s="15">
        <v>19.113</v>
      </c>
      <c r="H168" s="16">
        <v>-810</v>
      </c>
      <c r="I168" s="4" t="s">
        <v>982</v>
      </c>
      <c r="J168" s="4" t="s">
        <v>42</v>
      </c>
      <c r="K168" s="6">
        <v>37.747999999999998</v>
      </c>
      <c r="L168" s="6">
        <v>14.999000000000001</v>
      </c>
      <c r="M168" s="5" t="s">
        <v>340</v>
      </c>
      <c r="N168" s="5" t="s">
        <v>340</v>
      </c>
      <c r="O168" s="4" t="s">
        <v>1041</v>
      </c>
      <c r="P168" s="5">
        <v>5</v>
      </c>
      <c r="Q168" s="5" t="s">
        <v>340</v>
      </c>
      <c r="R168" s="4" t="s">
        <v>184</v>
      </c>
      <c r="S168" s="4" t="s">
        <v>1121</v>
      </c>
      <c r="T168" s="7">
        <v>3870</v>
      </c>
      <c r="U168" s="7">
        <v>3930</v>
      </c>
      <c r="V168" s="7">
        <v>3990</v>
      </c>
      <c r="W168" s="15" t="s">
        <v>1109</v>
      </c>
      <c r="X168" s="15" t="s">
        <v>1330</v>
      </c>
      <c r="Y168" s="7" t="s">
        <v>340</v>
      </c>
      <c r="Z168" s="7" t="s">
        <v>340</v>
      </c>
      <c r="AA168" s="7" t="s">
        <v>340</v>
      </c>
      <c r="AB168" s="7" t="s">
        <v>340</v>
      </c>
      <c r="AC168" s="7" t="s">
        <v>340</v>
      </c>
      <c r="AD168" s="7" t="s">
        <v>340</v>
      </c>
      <c r="AE168" s="7" t="s">
        <v>340</v>
      </c>
      <c r="AF168" s="7" t="s">
        <v>340</v>
      </c>
      <c r="AG168" s="7" t="s">
        <v>340</v>
      </c>
      <c r="AH168" s="5">
        <v>1</v>
      </c>
      <c r="AI168" s="5">
        <v>1</v>
      </c>
      <c r="AJ168" s="9">
        <f>IF(AND(ISNUMBER(F168),ISNUMBER(G168),ISNUMBER(K168),ISNUMBER(L168)),ACOS(MIN(1,COS(RADIANS(90-F168))*COS(RADIANS(90-K168))+SIN(RADIANS(90-F168))*SIN(RADIANS(90-K168))*COS(RADIANS(G168-L168))))*6371,"N/A")</f>
        <v>393.51657763726178</v>
      </c>
      <c r="AK168" s="10">
        <f>IF(AND(ISNUMBER(F168),ISNUMBER(G168),ISNUMBER(K168),ISNUMBER(L168)),MOD(DEGREES(ATAN2(COS(RADIANS(K168))*SIN(RADIANS(F168))-SIN(RADIANS(K168))*COS(RADIANS(F168))*COS(RADIANS(G168-L168)),SIN(RADIANS(G168-L168))*COS(RADIANS(F168))))+360,360),"N/A")</f>
        <v>64.216769689433022</v>
      </c>
      <c r="AL168" s="10" t="str">
        <f>IF(AND(ISNUMBER(F168),ISNUMBER(G168),ISNUMBER(M168),ISNUMBER(N168)),ACOS(MIN(1,COS(RADIANS(90-F168))*COS(RADIANS(90-M168))+SIN(RADIANS(90-F168))*SIN(RADIANS(90-M168))*COS(RADIANS(G168-N168))))*6371,"N/A")</f>
        <v>N/A</v>
      </c>
      <c r="AM168" s="10" t="str">
        <f>IF(AND(ISNUMBER(F168),ISNUMBER(G168),ISNUMBER(M168),ISNUMBER(N168)),MOD(DEGREES(ATAN2(COS(RADIANS(M168))*SIN(RADIANS(F168))-SIN(RADIANS(M168))*COS(RADIANS(F168))*COS(RADIANS(G168-N168)),SIN(RADIANS(G168-N168))*COS(RADIANS(F168))))+360,360),"N/A")</f>
        <v>N/A</v>
      </c>
      <c r="AN168" s="2"/>
      <c r="AO168" s="2"/>
    </row>
    <row r="169" spans="1:41" x14ac:dyDescent="0.2">
      <c r="A169" s="4" t="s">
        <v>651</v>
      </c>
      <c r="B169" s="4" t="s">
        <v>645</v>
      </c>
      <c r="C169" s="5" t="s">
        <v>340</v>
      </c>
      <c r="D169" s="4" t="s">
        <v>70</v>
      </c>
      <c r="E169" s="4" t="s">
        <v>89</v>
      </c>
      <c r="F169" s="15">
        <v>40.746389000000001</v>
      </c>
      <c r="G169" s="15">
        <v>14.191667000000001</v>
      </c>
      <c r="H169" s="16">
        <v>-186.5</v>
      </c>
      <c r="I169" s="4" t="s">
        <v>982</v>
      </c>
      <c r="J169" s="4" t="s">
        <v>16</v>
      </c>
      <c r="K169" s="6">
        <v>40.820999999999998</v>
      </c>
      <c r="L169" s="6">
        <v>14.426</v>
      </c>
      <c r="M169" s="5" t="s">
        <v>340</v>
      </c>
      <c r="N169" s="5" t="s">
        <v>340</v>
      </c>
      <c r="O169" s="4" t="s">
        <v>879</v>
      </c>
      <c r="P169" s="5" t="s">
        <v>340</v>
      </c>
      <c r="Q169" s="5" t="s">
        <v>340</v>
      </c>
      <c r="R169" s="4" t="s">
        <v>41</v>
      </c>
      <c r="S169" s="4" t="s">
        <v>1121</v>
      </c>
      <c r="T169" s="7">
        <v>1871</v>
      </c>
      <c r="U169" s="7">
        <v>1871</v>
      </c>
      <c r="V169" s="7">
        <v>1871</v>
      </c>
      <c r="W169" s="15" t="s">
        <v>898</v>
      </c>
      <c r="X169" s="15" t="s">
        <v>332</v>
      </c>
      <c r="Y169" s="7" t="s">
        <v>340</v>
      </c>
      <c r="Z169" s="7" t="s">
        <v>340</v>
      </c>
      <c r="AA169" s="7" t="s">
        <v>340</v>
      </c>
      <c r="AB169" s="7" t="s">
        <v>340</v>
      </c>
      <c r="AC169" s="7" t="s">
        <v>340</v>
      </c>
      <c r="AD169" s="7" t="s">
        <v>340</v>
      </c>
      <c r="AE169" s="7" t="s">
        <v>340</v>
      </c>
      <c r="AF169" s="7" t="s">
        <v>340</v>
      </c>
      <c r="AG169" s="7" t="s">
        <v>905</v>
      </c>
      <c r="AH169" s="5">
        <v>1</v>
      </c>
      <c r="AI169" s="5">
        <v>1</v>
      </c>
      <c r="AJ169" s="9">
        <f>IF(AND(ISNUMBER(F169),ISNUMBER(G169),ISNUMBER(K169),ISNUMBER(L169)),ACOS(MIN(1,COS(RADIANS(90-F169))*COS(RADIANS(90-K169))+SIN(RADIANS(90-F169))*SIN(RADIANS(90-K169))*COS(RADIANS(G169-L169))))*6371,"N/A")</f>
        <v>21.402945753957678</v>
      </c>
      <c r="AK169" s="10">
        <f>IF(AND(ISNUMBER(F169),ISNUMBER(G169),ISNUMBER(K169),ISNUMBER(L169)),MOD(DEGREES(ATAN2(COS(RADIANS(K169))*SIN(RADIANS(F169))-SIN(RADIANS(K169))*COS(RADIANS(F169))*COS(RADIANS(G169-L169)),SIN(RADIANS(G169-L169))*COS(RADIANS(F169))))+360,360),"N/A")</f>
        <v>247.26963524647806</v>
      </c>
      <c r="AL169" s="10" t="str">
        <f>IF(AND(ISNUMBER(F169),ISNUMBER(G169),ISNUMBER(M169),ISNUMBER(N169)),ACOS(MIN(1,COS(RADIANS(90-F169))*COS(RADIANS(90-M169))+SIN(RADIANS(90-F169))*SIN(RADIANS(90-M169))*COS(RADIANS(G169-N169))))*6371,"N/A")</f>
        <v>N/A</v>
      </c>
      <c r="AM169" s="10" t="str">
        <f>IF(AND(ISNUMBER(F169),ISNUMBER(G169),ISNUMBER(M169),ISNUMBER(N169)),MOD(DEGREES(ATAN2(COS(RADIANS(M169))*SIN(RADIANS(F169))-SIN(RADIANS(M169))*COS(RADIANS(F169))*COS(RADIANS(G169-N169)),SIN(RADIANS(G169-N169))*COS(RADIANS(F169))))+360,360),"N/A")</f>
        <v>N/A</v>
      </c>
      <c r="AN169" s="2"/>
      <c r="AO169" s="2"/>
    </row>
    <row r="170" spans="1:41" x14ac:dyDescent="0.2">
      <c r="A170" s="4" t="s">
        <v>652</v>
      </c>
      <c r="B170" s="4" t="s">
        <v>645</v>
      </c>
      <c r="C170" s="5" t="s">
        <v>340</v>
      </c>
      <c r="D170" s="4" t="s">
        <v>70</v>
      </c>
      <c r="E170" s="4" t="s">
        <v>89</v>
      </c>
      <c r="F170" s="15">
        <v>40.746389000000001</v>
      </c>
      <c r="G170" s="15">
        <v>14.191667000000001</v>
      </c>
      <c r="H170" s="16">
        <v>-186.5</v>
      </c>
      <c r="I170" s="4" t="s">
        <v>982</v>
      </c>
      <c r="J170" s="4" t="s">
        <v>150</v>
      </c>
      <c r="K170" s="6">
        <v>40.729999999999997</v>
      </c>
      <c r="L170" s="6">
        <v>13.897</v>
      </c>
      <c r="M170" s="5" t="s">
        <v>340</v>
      </c>
      <c r="N170" s="5" t="s">
        <v>340</v>
      </c>
      <c r="O170" s="4" t="s">
        <v>660</v>
      </c>
      <c r="P170" s="5" t="s">
        <v>340</v>
      </c>
      <c r="Q170" s="5" t="s">
        <v>340</v>
      </c>
      <c r="R170" s="4" t="s">
        <v>41</v>
      </c>
      <c r="S170" s="4" t="s">
        <v>1121</v>
      </c>
      <c r="T170" s="7">
        <v>2315</v>
      </c>
      <c r="U170" s="7">
        <v>2346</v>
      </c>
      <c r="V170" s="7">
        <v>2408</v>
      </c>
      <c r="W170" s="15" t="s">
        <v>1108</v>
      </c>
      <c r="X170" s="15" t="s">
        <v>1378</v>
      </c>
      <c r="Y170" s="7">
        <v>2332</v>
      </c>
      <c r="Z170" s="7">
        <v>24</v>
      </c>
      <c r="AA170" s="7" t="s">
        <v>340</v>
      </c>
      <c r="AB170" s="7" t="s">
        <v>340</v>
      </c>
      <c r="AC170" s="7" t="s">
        <v>340</v>
      </c>
      <c r="AD170" s="7" t="s">
        <v>340</v>
      </c>
      <c r="AE170" s="7" t="s">
        <v>340</v>
      </c>
      <c r="AF170" s="7" t="s">
        <v>340</v>
      </c>
      <c r="AG170" s="7" t="s">
        <v>340</v>
      </c>
      <c r="AH170" s="5">
        <v>1</v>
      </c>
      <c r="AI170" s="5">
        <v>1</v>
      </c>
      <c r="AJ170" s="9">
        <f>IF(AND(ISNUMBER(F170),ISNUMBER(G170),ISNUMBER(K170),ISNUMBER(L170)),ACOS(MIN(1,COS(RADIANS(90-F170))*COS(RADIANS(90-K170))+SIN(RADIANS(90-F170))*SIN(RADIANS(90-K170))*COS(RADIANS(G170-L170))))*6371,"N/A")</f>
        <v>24.893166915611335</v>
      </c>
      <c r="AK170" s="10">
        <f>IF(AND(ISNUMBER(F170),ISNUMBER(G170),ISNUMBER(K170),ISNUMBER(L170)),MOD(DEGREES(ATAN2(COS(RADIANS(K170))*SIN(RADIANS(F170))-SIN(RADIANS(K170))*COS(RADIANS(F170))*COS(RADIANS(G170-L170)),SIN(RADIANS(G170-L170))*COS(RADIANS(F170))))+360,360),"N/A")</f>
        <v>85.705607823585865</v>
      </c>
      <c r="AL170" s="10" t="str">
        <f>IF(AND(ISNUMBER(F170),ISNUMBER(G170),ISNUMBER(M170),ISNUMBER(N170)),ACOS(MIN(1,COS(RADIANS(90-F170))*COS(RADIANS(90-M170))+SIN(RADIANS(90-F170))*SIN(RADIANS(90-M170))*COS(RADIANS(G170-N170))))*6371,"N/A")</f>
        <v>N/A</v>
      </c>
      <c r="AM170" s="10" t="str">
        <f>IF(AND(ISNUMBER(F170),ISNUMBER(G170),ISNUMBER(M170),ISNUMBER(N170)),MOD(DEGREES(ATAN2(COS(RADIANS(M170))*SIN(RADIANS(F170))-SIN(RADIANS(M170))*COS(RADIANS(F170))*COS(RADIANS(G170-N170)),SIN(RADIANS(G170-N170))*COS(RADIANS(F170))))+360,360),"N/A")</f>
        <v>N/A</v>
      </c>
      <c r="AN170" s="2"/>
      <c r="AO170" s="2"/>
    </row>
    <row r="171" spans="1:41" x14ac:dyDescent="0.2">
      <c r="A171" s="4" t="s">
        <v>427</v>
      </c>
      <c r="B171" s="4" t="s">
        <v>21</v>
      </c>
      <c r="C171" s="5">
        <v>482</v>
      </c>
      <c r="D171" s="4" t="s">
        <v>22</v>
      </c>
      <c r="E171" s="4" t="s">
        <v>23</v>
      </c>
      <c r="F171" s="15">
        <v>42.7806</v>
      </c>
      <c r="G171" s="15">
        <v>17.346399999999999</v>
      </c>
      <c r="H171" s="16">
        <v>0</v>
      </c>
      <c r="I171" s="4" t="s">
        <v>28</v>
      </c>
      <c r="J171" s="4" t="s">
        <v>16</v>
      </c>
      <c r="K171" s="6">
        <v>40.820999999999998</v>
      </c>
      <c r="L171" s="6">
        <v>14.426</v>
      </c>
      <c r="M171" s="5" t="s">
        <v>340</v>
      </c>
      <c r="N171" s="5" t="s">
        <v>340</v>
      </c>
      <c r="O171" s="4" t="s">
        <v>229</v>
      </c>
      <c r="P171" s="5" t="s">
        <v>340</v>
      </c>
      <c r="Q171" s="5" t="s">
        <v>340</v>
      </c>
      <c r="R171" s="4" t="s">
        <v>41</v>
      </c>
      <c r="S171" s="4" t="s">
        <v>428</v>
      </c>
      <c r="T171" s="12">
        <v>8723</v>
      </c>
      <c r="U171" s="7">
        <v>8866</v>
      </c>
      <c r="V171" s="12">
        <v>9009</v>
      </c>
      <c r="W171" s="15" t="s">
        <v>1091</v>
      </c>
      <c r="X171" s="21" t="s">
        <v>1360</v>
      </c>
      <c r="Y171" s="7">
        <v>8010</v>
      </c>
      <c r="Z171" s="7">
        <v>35</v>
      </c>
      <c r="AA171" s="7" t="s">
        <v>340</v>
      </c>
      <c r="AB171" s="7" t="s">
        <v>340</v>
      </c>
      <c r="AC171" s="7">
        <v>9680</v>
      </c>
      <c r="AD171" s="7">
        <v>480</v>
      </c>
      <c r="AE171" s="7" t="s">
        <v>340</v>
      </c>
      <c r="AF171" s="7" t="s">
        <v>340</v>
      </c>
      <c r="AG171" s="7" t="s">
        <v>340</v>
      </c>
      <c r="AH171" s="5">
        <v>1</v>
      </c>
      <c r="AI171" s="5">
        <v>1</v>
      </c>
      <c r="AJ171" s="9">
        <f>IF(AND(ISNUMBER(F171),ISNUMBER(G171),ISNUMBER(K171),ISNUMBER(L171)),ACOS(MIN(1,COS(RADIANS(90-F171))*COS(RADIANS(90-K171))+SIN(RADIANS(90-F171))*SIN(RADIANS(90-K171))*COS(RADIANS(G171-L171))))*6371,"N/A")</f>
        <v>325.66259249151551</v>
      </c>
      <c r="AK171" s="10">
        <f>IF(AND(ISNUMBER(F171),ISNUMBER(G171),ISNUMBER(K171),ISNUMBER(L171)),MOD(DEGREES(ATAN2(COS(RADIANS(K171))*SIN(RADIANS(F171))-SIN(RADIANS(K171))*COS(RADIANS(F171))*COS(RADIANS(G171-L171)),SIN(RADIANS(G171-L171))*COS(RADIANS(F171))))+360,360),"N/A")</f>
        <v>47.043235133240387</v>
      </c>
      <c r="AL171" s="10" t="str">
        <f>IF(AND(ISNUMBER(F171),ISNUMBER(G171),ISNUMBER(M171),ISNUMBER(N171)),ACOS(MIN(1,COS(RADIANS(90-F171))*COS(RADIANS(90-M171))+SIN(RADIANS(90-F171))*SIN(RADIANS(90-M171))*COS(RADIANS(G171-N171))))*6371,"N/A")</f>
        <v>N/A</v>
      </c>
      <c r="AM171" s="10" t="str">
        <f>IF(AND(ISNUMBER(F171),ISNUMBER(G171),ISNUMBER(M171),ISNUMBER(N171)),MOD(DEGREES(ATAN2(COS(RADIANS(M171))*SIN(RADIANS(F171))-SIN(RADIANS(M171))*COS(RADIANS(F171))*COS(RADIANS(G171-N171)),SIN(RADIANS(G171-N171))*COS(RADIANS(F171))))+360,360),"N/A")</f>
        <v>N/A</v>
      </c>
      <c r="AN171" s="2"/>
      <c r="AO171" s="2"/>
    </row>
    <row r="172" spans="1:41" x14ac:dyDescent="0.2">
      <c r="A172" s="4" t="s">
        <v>26</v>
      </c>
      <c r="B172" s="4" t="s">
        <v>27</v>
      </c>
      <c r="C172" s="5">
        <v>483</v>
      </c>
      <c r="D172" s="4" t="s">
        <v>22</v>
      </c>
      <c r="E172" s="4" t="s">
        <v>23</v>
      </c>
      <c r="F172" s="15">
        <v>42.774299999999997</v>
      </c>
      <c r="G172" s="15">
        <v>17.360900000000001</v>
      </c>
      <c r="H172" s="16">
        <v>0</v>
      </c>
      <c r="I172" s="4" t="s">
        <v>28</v>
      </c>
      <c r="J172" s="4" t="s">
        <v>16</v>
      </c>
      <c r="K172" s="6">
        <v>40.820999999999998</v>
      </c>
      <c r="L172" s="6">
        <v>14.426</v>
      </c>
      <c r="M172" s="5" t="s">
        <v>340</v>
      </c>
      <c r="N172" s="5" t="s">
        <v>340</v>
      </c>
      <c r="O172" s="4" t="s">
        <v>229</v>
      </c>
      <c r="P172" s="5">
        <v>27</v>
      </c>
      <c r="Q172" s="5">
        <v>9999</v>
      </c>
      <c r="R172" s="4" t="s">
        <v>41</v>
      </c>
      <c r="S172" s="4" t="s">
        <v>1121</v>
      </c>
      <c r="T172" s="12">
        <v>8723</v>
      </c>
      <c r="U172" s="7">
        <v>8866</v>
      </c>
      <c r="V172" s="12">
        <v>9009</v>
      </c>
      <c r="W172" s="15" t="s">
        <v>1091</v>
      </c>
      <c r="X172" s="21" t="s">
        <v>1360</v>
      </c>
      <c r="Y172" s="7">
        <v>8010</v>
      </c>
      <c r="Z172" s="7">
        <v>35</v>
      </c>
      <c r="AA172" s="7" t="s">
        <v>340</v>
      </c>
      <c r="AB172" s="7" t="s">
        <v>340</v>
      </c>
      <c r="AC172" s="7">
        <v>9680</v>
      </c>
      <c r="AD172" s="7">
        <v>480</v>
      </c>
      <c r="AE172" s="7" t="s">
        <v>340</v>
      </c>
      <c r="AF172" s="7" t="s">
        <v>340</v>
      </c>
      <c r="AG172" s="7" t="s">
        <v>340</v>
      </c>
      <c r="AH172" s="5">
        <v>1</v>
      </c>
      <c r="AI172" s="5">
        <v>1</v>
      </c>
      <c r="AJ172" s="9">
        <f>IF(AND(ISNUMBER(F172),ISNUMBER(G172),ISNUMBER(K172),ISNUMBER(L172)),ACOS(MIN(1,COS(RADIANS(90-F172))*COS(RADIANS(90-K172))+SIN(RADIANS(90-F172))*SIN(RADIANS(90-K172))*COS(RADIANS(G172-L172))))*6371,"N/A")</f>
        <v>326.09866190665616</v>
      </c>
      <c r="AK172" s="10">
        <f>IF(AND(ISNUMBER(F172),ISNUMBER(G172),ISNUMBER(K172),ISNUMBER(L172)),MOD(DEGREES(ATAN2(COS(RADIANS(K172))*SIN(RADIANS(F172))-SIN(RADIANS(K172))*COS(RADIANS(F172))*COS(RADIANS(G172-L172)),SIN(RADIANS(G172-L172))*COS(RADIANS(F172))))+360,360),"N/A")</f>
        <v>47.272649929172474</v>
      </c>
      <c r="AL172" s="10" t="str">
        <f>IF(AND(ISNUMBER(F172),ISNUMBER(G172),ISNUMBER(M172),ISNUMBER(N172)),ACOS(MIN(1,COS(RADIANS(90-F172))*COS(RADIANS(90-M172))+SIN(RADIANS(90-F172))*SIN(RADIANS(90-M172))*COS(RADIANS(G172-N172))))*6371,"N/A")</f>
        <v>N/A</v>
      </c>
      <c r="AM172" s="10" t="str">
        <f>IF(AND(ISNUMBER(F172),ISNUMBER(G172),ISNUMBER(M172),ISNUMBER(N172)),MOD(DEGREES(ATAN2(COS(RADIANS(M172))*SIN(RADIANS(F172))-SIN(RADIANS(M172))*COS(RADIANS(F172))*COS(RADIANS(G172-N172)),SIN(RADIANS(G172-N172))*COS(RADIANS(F172))))+360,360),"N/A")</f>
        <v>N/A</v>
      </c>
      <c r="AN172" s="2"/>
      <c r="AO172" s="2"/>
    </row>
    <row r="173" spans="1:41" x14ac:dyDescent="0.2">
      <c r="A173" s="4" t="s">
        <v>846</v>
      </c>
      <c r="B173" s="4" t="s">
        <v>727</v>
      </c>
      <c r="C173" s="5" t="s">
        <v>340</v>
      </c>
      <c r="D173" s="4" t="s">
        <v>70</v>
      </c>
      <c r="E173" s="4" t="s">
        <v>71</v>
      </c>
      <c r="F173" s="15">
        <v>41.283318000000001</v>
      </c>
      <c r="G173" s="15">
        <v>17.616736</v>
      </c>
      <c r="H173" s="16">
        <v>-1013</v>
      </c>
      <c r="I173" s="4" t="s">
        <v>729</v>
      </c>
      <c r="J173" s="4" t="s">
        <v>16</v>
      </c>
      <c r="K173" s="6">
        <v>40.820999999999998</v>
      </c>
      <c r="L173" s="6">
        <v>14.426</v>
      </c>
      <c r="M173" s="5" t="s">
        <v>340</v>
      </c>
      <c r="N173" s="5" t="s">
        <v>340</v>
      </c>
      <c r="O173" s="4" t="s">
        <v>762</v>
      </c>
      <c r="P173" s="5">
        <v>16</v>
      </c>
      <c r="Q173" s="5" t="s">
        <v>340</v>
      </c>
      <c r="R173" s="4" t="s">
        <v>184</v>
      </c>
      <c r="S173" s="4" t="s">
        <v>1121</v>
      </c>
      <c r="T173" s="7">
        <v>319</v>
      </c>
      <c r="U173" s="7">
        <v>319</v>
      </c>
      <c r="V173" s="7">
        <v>319</v>
      </c>
      <c r="W173" s="15" t="s">
        <v>898</v>
      </c>
      <c r="X173" s="15" t="s">
        <v>332</v>
      </c>
      <c r="Y173" s="7" t="s">
        <v>340</v>
      </c>
      <c r="Z173" s="7" t="s">
        <v>340</v>
      </c>
      <c r="AA173" s="7" t="s">
        <v>340</v>
      </c>
      <c r="AB173" s="7" t="s">
        <v>340</v>
      </c>
      <c r="AC173" s="7">
        <v>90</v>
      </c>
      <c r="AD173" s="7">
        <v>5</v>
      </c>
      <c r="AE173" s="7" t="s">
        <v>340</v>
      </c>
      <c r="AF173" s="7" t="s">
        <v>340</v>
      </c>
      <c r="AG173" s="7" t="s">
        <v>762</v>
      </c>
      <c r="AH173" s="5">
        <v>1</v>
      </c>
      <c r="AI173" s="5">
        <v>1</v>
      </c>
      <c r="AJ173" s="9">
        <f>IF(AND(ISNUMBER(F173),ISNUMBER(G173),ISNUMBER(K173),ISNUMBER(L173)),ACOS(MIN(1,COS(RADIANS(90-F173))*COS(RADIANS(90-K173))+SIN(RADIANS(90-F173))*SIN(RADIANS(90-K173))*COS(RADIANS(G173-L173))))*6371,"N/A")</f>
        <v>272.43109164108535</v>
      </c>
      <c r="AK173" s="10">
        <f>IF(AND(ISNUMBER(F173),ISNUMBER(G173),ISNUMBER(K173),ISNUMBER(L173)),MOD(DEGREES(ATAN2(COS(RADIANS(K173))*SIN(RADIANS(F173))-SIN(RADIANS(K173))*COS(RADIANS(F173))*COS(RADIANS(G173-L173)),SIN(RADIANS(G173-L173))*COS(RADIANS(F173))))+360,360),"N/A")</f>
        <v>78.078688615845863</v>
      </c>
      <c r="AL173" s="10" t="str">
        <f>IF(AND(ISNUMBER(F173),ISNUMBER(G173),ISNUMBER(M173),ISNUMBER(N173)),ACOS(MIN(1,COS(RADIANS(90-F173))*COS(RADIANS(90-M173))+SIN(RADIANS(90-F173))*SIN(RADIANS(90-M173))*COS(RADIANS(G173-N173))))*6371,"N/A")</f>
        <v>N/A</v>
      </c>
      <c r="AM173" s="10" t="str">
        <f>IF(AND(ISNUMBER(F173),ISNUMBER(G173),ISNUMBER(M173),ISNUMBER(N173)),MOD(DEGREES(ATAN2(COS(RADIANS(M173))*SIN(RADIANS(F173))-SIN(RADIANS(M173))*COS(RADIANS(F173))*COS(RADIANS(G173-N173)),SIN(RADIANS(G173-N173))*COS(RADIANS(F173))))+360,360),"N/A")</f>
        <v>N/A</v>
      </c>
      <c r="AN173" s="2"/>
      <c r="AO173" s="2"/>
    </row>
    <row r="174" spans="1:41" x14ac:dyDescent="0.2">
      <c r="A174" s="4" t="s">
        <v>848</v>
      </c>
      <c r="B174" s="4" t="s">
        <v>727</v>
      </c>
      <c r="C174" s="5" t="s">
        <v>340</v>
      </c>
      <c r="D174" s="4" t="s">
        <v>70</v>
      </c>
      <c r="E174" s="4" t="s">
        <v>71</v>
      </c>
      <c r="F174" s="15">
        <v>41.283318000000001</v>
      </c>
      <c r="G174" s="15">
        <v>17.616736</v>
      </c>
      <c r="H174" s="16">
        <v>-1013</v>
      </c>
      <c r="I174" s="4" t="s">
        <v>729</v>
      </c>
      <c r="J174" s="4" t="s">
        <v>16</v>
      </c>
      <c r="K174" s="6">
        <v>40.820999999999998</v>
      </c>
      <c r="L174" s="6">
        <v>14.426</v>
      </c>
      <c r="M174" s="5" t="s">
        <v>340</v>
      </c>
      <c r="N174" s="5" t="s">
        <v>340</v>
      </c>
      <c r="O174" s="4" t="s">
        <v>880</v>
      </c>
      <c r="P174" s="5">
        <v>17</v>
      </c>
      <c r="Q174" s="5" t="s">
        <v>340</v>
      </c>
      <c r="R174" s="4" t="s">
        <v>184</v>
      </c>
      <c r="S174" s="4" t="s">
        <v>1128</v>
      </c>
      <c r="T174" s="7">
        <v>1478</v>
      </c>
      <c r="U174" s="7">
        <v>1478</v>
      </c>
      <c r="V174" s="7">
        <v>1478</v>
      </c>
      <c r="W174" s="15" t="s">
        <v>898</v>
      </c>
      <c r="X174" s="15" t="s">
        <v>897</v>
      </c>
      <c r="Y174" s="7" t="s">
        <v>340</v>
      </c>
      <c r="Z174" s="7" t="s">
        <v>340</v>
      </c>
      <c r="AA174" s="7" t="s">
        <v>340</v>
      </c>
      <c r="AB174" s="7" t="s">
        <v>340</v>
      </c>
      <c r="AC174" s="7">
        <v>1440</v>
      </c>
      <c r="AD174" s="7">
        <v>70</v>
      </c>
      <c r="AE174" s="7" t="s">
        <v>340</v>
      </c>
      <c r="AF174" s="7" t="s">
        <v>340</v>
      </c>
      <c r="AG174" s="7" t="s">
        <v>881</v>
      </c>
      <c r="AH174" s="5">
        <v>1</v>
      </c>
      <c r="AI174" s="5">
        <v>1</v>
      </c>
      <c r="AJ174" s="9">
        <f>IF(AND(ISNUMBER(F174),ISNUMBER(G174),ISNUMBER(K174),ISNUMBER(L174)),ACOS(MIN(1,COS(RADIANS(90-F174))*COS(RADIANS(90-K174))+SIN(RADIANS(90-F174))*SIN(RADIANS(90-K174))*COS(RADIANS(G174-L174))))*6371,"N/A")</f>
        <v>272.43109164108535</v>
      </c>
      <c r="AK174" s="10">
        <f>IF(AND(ISNUMBER(F174),ISNUMBER(G174),ISNUMBER(K174),ISNUMBER(L174)),MOD(DEGREES(ATAN2(COS(RADIANS(K174))*SIN(RADIANS(F174))-SIN(RADIANS(K174))*COS(RADIANS(F174))*COS(RADIANS(G174-L174)),SIN(RADIANS(G174-L174))*COS(RADIANS(F174))))+360,360),"N/A")</f>
        <v>78.078688615845863</v>
      </c>
      <c r="AL174" s="10" t="str">
        <f>IF(AND(ISNUMBER(F174),ISNUMBER(G174),ISNUMBER(M174),ISNUMBER(N174)),ACOS(MIN(1,COS(RADIANS(90-F174))*COS(RADIANS(90-M174))+SIN(RADIANS(90-F174))*SIN(RADIANS(90-M174))*COS(RADIANS(G174-N174))))*6371,"N/A")</f>
        <v>N/A</v>
      </c>
      <c r="AM174" s="10" t="str">
        <f>IF(AND(ISNUMBER(F174),ISNUMBER(G174),ISNUMBER(M174),ISNUMBER(N174)),MOD(DEGREES(ATAN2(COS(RADIANS(M174))*SIN(RADIANS(F174))-SIN(RADIANS(M174))*COS(RADIANS(F174))*COS(RADIANS(G174-N174)),SIN(RADIANS(G174-N174))*COS(RADIANS(F174))))+360,360),"N/A")</f>
        <v>N/A</v>
      </c>
      <c r="AN174" s="2"/>
      <c r="AO174" s="2"/>
    </row>
    <row r="175" spans="1:41" x14ac:dyDescent="0.2">
      <c r="A175" s="4" t="s">
        <v>847</v>
      </c>
      <c r="B175" s="4" t="s">
        <v>727</v>
      </c>
      <c r="C175" s="5" t="s">
        <v>340</v>
      </c>
      <c r="D175" s="4" t="s">
        <v>70</v>
      </c>
      <c r="E175" s="4" t="s">
        <v>71</v>
      </c>
      <c r="F175" s="15">
        <v>41.283318000000001</v>
      </c>
      <c r="G175" s="15">
        <v>17.616736</v>
      </c>
      <c r="H175" s="16">
        <v>-1013</v>
      </c>
      <c r="I175" s="4" t="s">
        <v>729</v>
      </c>
      <c r="J175" s="4" t="s">
        <v>16</v>
      </c>
      <c r="K175" s="6">
        <v>40.820999999999998</v>
      </c>
      <c r="L175" s="6">
        <v>14.426</v>
      </c>
      <c r="M175" s="5" t="s">
        <v>340</v>
      </c>
      <c r="N175" s="5" t="s">
        <v>340</v>
      </c>
      <c r="O175" s="4" t="s">
        <v>879</v>
      </c>
      <c r="P175" s="5">
        <v>4</v>
      </c>
      <c r="Q175" s="5" t="s">
        <v>340</v>
      </c>
      <c r="R175" s="4" t="s">
        <v>184</v>
      </c>
      <c r="S175" s="4" t="s">
        <v>1121</v>
      </c>
      <c r="T175" s="7">
        <v>1871</v>
      </c>
      <c r="U175" s="7">
        <v>1871</v>
      </c>
      <c r="V175" s="7">
        <v>1871</v>
      </c>
      <c r="W175" s="15" t="s">
        <v>898</v>
      </c>
      <c r="X175" s="15" t="s">
        <v>332</v>
      </c>
      <c r="Y175" s="7" t="s">
        <v>340</v>
      </c>
      <c r="Z175" s="7" t="s">
        <v>340</v>
      </c>
      <c r="AA175" s="7" t="s">
        <v>340</v>
      </c>
      <c r="AB175" s="7" t="s">
        <v>340</v>
      </c>
      <c r="AC175" s="7" t="s">
        <v>340</v>
      </c>
      <c r="AD175" s="7" t="s">
        <v>340</v>
      </c>
      <c r="AE175" s="7" t="s">
        <v>340</v>
      </c>
      <c r="AF175" s="7" t="s">
        <v>340</v>
      </c>
      <c r="AG175" s="7" t="s">
        <v>905</v>
      </c>
      <c r="AH175" s="5">
        <v>1</v>
      </c>
      <c r="AI175" s="5">
        <v>1</v>
      </c>
      <c r="AJ175" s="9">
        <f>IF(AND(ISNUMBER(F175),ISNUMBER(G175),ISNUMBER(K175),ISNUMBER(L175)),ACOS(MIN(1,COS(RADIANS(90-F175))*COS(RADIANS(90-K175))+SIN(RADIANS(90-F175))*SIN(RADIANS(90-K175))*COS(RADIANS(G175-L175))))*6371,"N/A")</f>
        <v>272.43109164108535</v>
      </c>
      <c r="AK175" s="10">
        <f>IF(AND(ISNUMBER(F175),ISNUMBER(G175),ISNUMBER(K175),ISNUMBER(L175)),MOD(DEGREES(ATAN2(COS(RADIANS(K175))*SIN(RADIANS(F175))-SIN(RADIANS(K175))*COS(RADIANS(F175))*COS(RADIANS(G175-L175)),SIN(RADIANS(G175-L175))*COS(RADIANS(F175))))+360,360),"N/A")</f>
        <v>78.078688615845863</v>
      </c>
      <c r="AL175" s="10" t="str">
        <f>IF(AND(ISNUMBER(F175),ISNUMBER(G175),ISNUMBER(M175),ISNUMBER(N175)),ACOS(MIN(1,COS(RADIANS(90-F175))*COS(RADIANS(90-M175))+SIN(RADIANS(90-F175))*SIN(RADIANS(90-M175))*COS(RADIANS(G175-N175))))*6371,"N/A")</f>
        <v>N/A</v>
      </c>
      <c r="AM175" s="10" t="str">
        <f>IF(AND(ISNUMBER(F175),ISNUMBER(G175),ISNUMBER(M175),ISNUMBER(N175)),MOD(DEGREES(ATAN2(COS(RADIANS(M175))*SIN(RADIANS(F175))-SIN(RADIANS(M175))*COS(RADIANS(F175))*COS(RADIANS(G175-N175)),SIN(RADIANS(G175-N175))*COS(RADIANS(F175))))+360,360),"N/A")</f>
        <v>N/A</v>
      </c>
      <c r="AN175" s="2"/>
      <c r="AO175" s="2"/>
    </row>
    <row r="176" spans="1:41" x14ac:dyDescent="0.2">
      <c r="A176" s="4" t="s">
        <v>159</v>
      </c>
      <c r="B176" s="4" t="s">
        <v>158</v>
      </c>
      <c r="C176" s="5" t="s">
        <v>340</v>
      </c>
      <c r="D176" s="4" t="s">
        <v>143</v>
      </c>
      <c r="E176" s="4" t="s">
        <v>144</v>
      </c>
      <c r="F176" s="15">
        <v>45.396388999999999</v>
      </c>
      <c r="G176" s="15">
        <v>22.901667</v>
      </c>
      <c r="H176" s="16">
        <v>1740</v>
      </c>
      <c r="I176" s="4" t="s">
        <v>857</v>
      </c>
      <c r="J176" s="4" t="s">
        <v>160</v>
      </c>
      <c r="K176" s="6">
        <v>65.033000000000001</v>
      </c>
      <c r="L176" s="6">
        <v>16.783000000000001</v>
      </c>
      <c r="M176" s="5" t="s">
        <v>340</v>
      </c>
      <c r="N176" s="5" t="s">
        <v>340</v>
      </c>
      <c r="O176" s="4" t="s">
        <v>161</v>
      </c>
      <c r="P176" s="5">
        <v>3</v>
      </c>
      <c r="Q176" s="5" t="s">
        <v>340</v>
      </c>
      <c r="R176" s="4" t="s">
        <v>184</v>
      </c>
      <c r="S176" s="4" t="s">
        <v>151</v>
      </c>
      <c r="T176" s="7">
        <v>10720</v>
      </c>
      <c r="U176" s="7">
        <v>10895</v>
      </c>
      <c r="V176" s="7">
        <v>11070</v>
      </c>
      <c r="W176" s="15" t="s">
        <v>1343</v>
      </c>
      <c r="X176" s="15" t="s">
        <v>1379</v>
      </c>
      <c r="Y176" s="7" t="s">
        <v>340</v>
      </c>
      <c r="Z176" s="7" t="s">
        <v>340</v>
      </c>
      <c r="AA176" s="7" t="s">
        <v>340</v>
      </c>
      <c r="AB176" s="7" t="s">
        <v>340</v>
      </c>
      <c r="AC176" s="7" t="s">
        <v>340</v>
      </c>
      <c r="AD176" s="7" t="s">
        <v>340</v>
      </c>
      <c r="AE176" s="7">
        <v>10895</v>
      </c>
      <c r="AF176" s="7">
        <v>175</v>
      </c>
      <c r="AG176" s="7" t="s">
        <v>340</v>
      </c>
      <c r="AH176" s="5">
        <v>1</v>
      </c>
      <c r="AI176" s="5">
        <v>1</v>
      </c>
      <c r="AJ176" s="9">
        <f>IF(AND(ISNUMBER(F176),ISNUMBER(G176),ISNUMBER(K176),ISNUMBER(L176)),ACOS(MIN(1,COS(RADIANS(90-F176))*COS(RADIANS(90-K176))+SIN(RADIANS(90-F176))*SIN(RADIANS(90-K176))*COS(RADIANS(G176-L176))))*6371,"N/A")</f>
        <v>2215.2801322574828</v>
      </c>
      <c r="AK176" s="10">
        <f>IF(AND(ISNUMBER(F176),ISNUMBER(G176),ISNUMBER(K176),ISNUMBER(L176)),MOD(DEGREES(ATAN2(COS(RADIANS(K176))*SIN(RADIANS(F176))-SIN(RADIANS(K176))*COS(RADIANS(F176))*COS(RADIANS(G176-L176)),SIN(RADIANS(G176-L176))*COS(RADIANS(F176))))+360,360),"N/A")</f>
        <v>167.31144661859116</v>
      </c>
      <c r="AL176" s="10" t="str">
        <f>IF(AND(ISNUMBER(F176),ISNUMBER(G176),ISNUMBER(M176),ISNUMBER(N176)),ACOS(MIN(1,COS(RADIANS(90-F176))*COS(RADIANS(90-M176))+SIN(RADIANS(90-F176))*SIN(RADIANS(90-M176))*COS(RADIANS(G176-N176))))*6371,"N/A")</f>
        <v>N/A</v>
      </c>
      <c r="AM176" s="10" t="str">
        <f>IF(AND(ISNUMBER(F176),ISNUMBER(G176),ISNUMBER(M176),ISNUMBER(N176)),MOD(DEGREES(ATAN2(COS(RADIANS(M176))*SIN(RADIANS(F176))-SIN(RADIANS(M176))*COS(RADIANS(F176))*COS(RADIANS(G176-N176)),SIN(RADIANS(G176-N176))*COS(RADIANS(F176))))+360,360),"N/A")</f>
        <v>N/A</v>
      </c>
      <c r="AN176" s="2"/>
      <c r="AO176" s="2"/>
    </row>
    <row r="177" spans="1:41" x14ac:dyDescent="0.2">
      <c r="A177" s="4" t="s">
        <v>147</v>
      </c>
      <c r="B177" s="4" t="s">
        <v>142</v>
      </c>
      <c r="C177" s="5" t="s">
        <v>340</v>
      </c>
      <c r="D177" s="4" t="s">
        <v>143</v>
      </c>
      <c r="E177" s="4" t="s">
        <v>144</v>
      </c>
      <c r="F177" s="15">
        <v>45.352027999999997</v>
      </c>
      <c r="G177" s="15">
        <v>22.874167</v>
      </c>
      <c r="H177" s="16">
        <v>1910</v>
      </c>
      <c r="I177" s="4" t="s">
        <v>145</v>
      </c>
      <c r="J177" s="4" t="s">
        <v>146</v>
      </c>
      <c r="K177" s="6">
        <v>65.033000000000001</v>
      </c>
      <c r="L177" s="6">
        <v>16.783000000000001</v>
      </c>
      <c r="M177" s="5">
        <v>38.49</v>
      </c>
      <c r="N177" s="5">
        <v>14.933</v>
      </c>
      <c r="O177" s="4" t="s">
        <v>853</v>
      </c>
      <c r="P177" s="5" t="s">
        <v>148</v>
      </c>
      <c r="Q177" s="5" t="s">
        <v>340</v>
      </c>
      <c r="R177" s="4" t="s">
        <v>184</v>
      </c>
      <c r="S177" s="4" t="s">
        <v>856</v>
      </c>
      <c r="T177" s="7">
        <v>10720</v>
      </c>
      <c r="U177" s="7">
        <v>10895</v>
      </c>
      <c r="V177" s="7">
        <v>11070</v>
      </c>
      <c r="W177" s="15" t="s">
        <v>1343</v>
      </c>
      <c r="X177" s="15" t="s">
        <v>1379</v>
      </c>
      <c r="Y177" s="7" t="s">
        <v>340</v>
      </c>
      <c r="Z177" s="7" t="s">
        <v>340</v>
      </c>
      <c r="AA177" s="7" t="s">
        <v>340</v>
      </c>
      <c r="AB177" s="7" t="s">
        <v>340</v>
      </c>
      <c r="AC177" s="7" t="s">
        <v>340</v>
      </c>
      <c r="AD177" s="7" t="s">
        <v>340</v>
      </c>
      <c r="AE177" s="7">
        <v>10895</v>
      </c>
      <c r="AF177" s="7">
        <v>175</v>
      </c>
      <c r="AG177" s="7" t="s">
        <v>340</v>
      </c>
      <c r="AH177" s="5">
        <v>1</v>
      </c>
      <c r="AI177" s="5">
        <v>2</v>
      </c>
      <c r="AJ177" s="9">
        <f>IF(AND(ISNUMBER(F177),ISNUMBER(G177),ISNUMBER(K177),ISNUMBER(L177)),ACOS(MIN(1,COS(RADIANS(90-F177))*COS(RADIANS(90-K177))+SIN(RADIANS(90-F177))*SIN(RADIANS(90-K177))*COS(RADIANS(G177-L177))))*6371,"N/A")</f>
        <v>2219.8872442079855</v>
      </c>
      <c r="AK177" s="10">
        <f>IF(AND(ISNUMBER(F177),ISNUMBER(G177),ISNUMBER(K177),ISNUMBER(L177)),MOD(DEGREES(ATAN2(COS(RADIANS(K177))*SIN(RADIANS(F177))-SIN(RADIANS(K177))*COS(RADIANS(F177))*COS(RADIANS(G177-L177)),SIN(RADIANS(G177-L177))*COS(RADIANS(F177))))+360,360),"N/A")</f>
        <v>167.38470687170184</v>
      </c>
      <c r="AL177" s="10">
        <f>IF(AND(ISNUMBER(F177),ISNUMBER(G177),ISNUMBER(M177),ISNUMBER(N177)),ACOS(MIN(1,COS(RADIANS(90-F177))*COS(RADIANS(90-M177))+SIN(RADIANS(90-F177))*SIN(RADIANS(90-M177))*COS(RADIANS(G177-N177))))*6371,"N/A")</f>
        <v>1005.8874754148346</v>
      </c>
      <c r="AM177" s="10">
        <f>IF(AND(ISNUMBER(F177),ISNUMBER(G177),ISNUMBER(M177),ISNUMBER(N177)),MOD(DEGREES(ATAN2(COS(RADIANS(M177))*SIN(RADIANS(F177))-SIN(RADIANS(M177))*COS(RADIANS(F177))*COS(RADIANS(G177-N177)),SIN(RADIANS(G177-N177))*COS(RADIANS(F177))))+360,360),"N/A")</f>
        <v>38.133556083367864</v>
      </c>
      <c r="AN177" s="2"/>
      <c r="AO177" s="2"/>
    </row>
    <row r="178" spans="1:41" x14ac:dyDescent="0.2">
      <c r="A178" s="4" t="s">
        <v>149</v>
      </c>
      <c r="B178" s="4" t="s">
        <v>142</v>
      </c>
      <c r="C178" s="5" t="s">
        <v>340</v>
      </c>
      <c r="D178" s="4" t="s">
        <v>143</v>
      </c>
      <c r="E178" s="4" t="s">
        <v>144</v>
      </c>
      <c r="F178" s="15">
        <v>45.352027999999997</v>
      </c>
      <c r="G178" s="15">
        <v>22.874167</v>
      </c>
      <c r="H178" s="16">
        <v>1910</v>
      </c>
      <c r="I178" s="4" t="s">
        <v>145</v>
      </c>
      <c r="J178" s="4" t="s">
        <v>150</v>
      </c>
      <c r="K178" s="6">
        <v>40.729999999999997</v>
      </c>
      <c r="L178" s="6">
        <v>13.897</v>
      </c>
      <c r="M178" s="5" t="s">
        <v>340</v>
      </c>
      <c r="N178" s="5" t="s">
        <v>340</v>
      </c>
      <c r="O178" s="4" t="s">
        <v>14</v>
      </c>
      <c r="P178" s="5">
        <v>6</v>
      </c>
      <c r="Q178" s="5" t="s">
        <v>340</v>
      </c>
      <c r="R178" s="4" t="s">
        <v>184</v>
      </c>
      <c r="S178" s="4" t="s">
        <v>1156</v>
      </c>
      <c r="T178" s="7">
        <v>10740</v>
      </c>
      <c r="U178" s="7">
        <v>10930</v>
      </c>
      <c r="V178" s="7">
        <v>11120</v>
      </c>
      <c r="W178" s="15" t="s">
        <v>1344</v>
      </c>
      <c r="X178" s="15" t="s">
        <v>1379</v>
      </c>
      <c r="Y178" s="7" t="s">
        <v>340</v>
      </c>
      <c r="Z178" s="7" t="s">
        <v>340</v>
      </c>
      <c r="AA178" s="7" t="s">
        <v>340</v>
      </c>
      <c r="AB178" s="7" t="s">
        <v>340</v>
      </c>
      <c r="AC178" s="7" t="s">
        <v>340</v>
      </c>
      <c r="AD178" s="7" t="s">
        <v>340</v>
      </c>
      <c r="AE178" s="7">
        <v>10930</v>
      </c>
      <c r="AF178" s="7">
        <v>190</v>
      </c>
      <c r="AG178" s="7" t="s">
        <v>340</v>
      </c>
      <c r="AH178" s="5">
        <v>1</v>
      </c>
      <c r="AI178" s="5">
        <v>1</v>
      </c>
      <c r="AJ178" s="9">
        <f>IF(AND(ISNUMBER(F178),ISNUMBER(G178),ISNUMBER(K178),ISNUMBER(L178)),ACOS(MIN(1,COS(RADIANS(90-F178))*COS(RADIANS(90-K178))+SIN(RADIANS(90-F178))*SIN(RADIANS(90-K178))*COS(RADIANS(G178-L178))))*6371,"N/A")</f>
        <v>891.54249359983123</v>
      </c>
      <c r="AK178" s="10">
        <f>IF(AND(ISNUMBER(F178),ISNUMBER(G178),ISNUMBER(K178),ISNUMBER(L178)),MOD(DEGREES(ATAN2(COS(RADIANS(K178))*SIN(RADIANS(F178))-SIN(RADIANS(K178))*COS(RADIANS(F178))*COS(RADIANS(G178-L178)),SIN(RADIANS(G178-L178))*COS(RADIANS(F178))))+360,360),"N/A")</f>
        <v>51.830019638245687</v>
      </c>
      <c r="AL178" s="10" t="str">
        <f>IF(AND(ISNUMBER(F178),ISNUMBER(G178),ISNUMBER(M178),ISNUMBER(N178)),ACOS(MIN(1,COS(RADIANS(90-F178))*COS(RADIANS(90-M178))+SIN(RADIANS(90-F178))*SIN(RADIANS(90-M178))*COS(RADIANS(G178-N178))))*6371,"N/A")</f>
        <v>N/A</v>
      </c>
      <c r="AM178" s="10" t="str">
        <f>IF(AND(ISNUMBER(F178),ISNUMBER(G178),ISNUMBER(M178),ISNUMBER(N178)),MOD(DEGREES(ATAN2(COS(RADIANS(M178))*SIN(RADIANS(F178))-SIN(RADIANS(M178))*COS(RADIANS(F178))*COS(RADIANS(G178-N178)),SIN(RADIANS(G178-N178))*COS(RADIANS(F178))))+360,360),"N/A")</f>
        <v>N/A</v>
      </c>
      <c r="AN178" s="2"/>
      <c r="AO178" s="2"/>
    </row>
    <row r="179" spans="1:41" x14ac:dyDescent="0.2">
      <c r="A179" s="4" t="s">
        <v>163</v>
      </c>
      <c r="B179" s="4" t="s">
        <v>158</v>
      </c>
      <c r="C179" s="5" t="s">
        <v>340</v>
      </c>
      <c r="D179" s="4" t="s">
        <v>143</v>
      </c>
      <c r="E179" s="4" t="s">
        <v>144</v>
      </c>
      <c r="F179" s="15">
        <v>45.396388999999999</v>
      </c>
      <c r="G179" s="15">
        <v>22.901667</v>
      </c>
      <c r="H179" s="16">
        <v>1740</v>
      </c>
      <c r="I179" s="4" t="s">
        <v>145</v>
      </c>
      <c r="J179" s="4" t="s">
        <v>153</v>
      </c>
      <c r="K179" s="6">
        <v>38.49</v>
      </c>
      <c r="L179" s="6">
        <v>14.933</v>
      </c>
      <c r="M179" s="5">
        <v>38.5</v>
      </c>
      <c r="N179" s="5">
        <v>35</v>
      </c>
      <c r="O179" s="4" t="s">
        <v>854</v>
      </c>
      <c r="P179" s="5" t="s">
        <v>164</v>
      </c>
      <c r="Q179" s="5" t="s">
        <v>340</v>
      </c>
      <c r="R179" s="4" t="s">
        <v>184</v>
      </c>
      <c r="S179" s="4" t="s">
        <v>856</v>
      </c>
      <c r="T179" s="7">
        <v>11515</v>
      </c>
      <c r="U179" s="7">
        <v>12200</v>
      </c>
      <c r="V179" s="7">
        <v>12885</v>
      </c>
      <c r="W179" s="15" t="s">
        <v>1344</v>
      </c>
      <c r="X179" s="15" t="s">
        <v>1379</v>
      </c>
      <c r="Y179" s="7" t="s">
        <v>340</v>
      </c>
      <c r="Z179" s="7" t="s">
        <v>340</v>
      </c>
      <c r="AA179" s="7" t="s">
        <v>340</v>
      </c>
      <c r="AB179" s="7" t="s">
        <v>340</v>
      </c>
      <c r="AC179" s="7" t="s">
        <v>340</v>
      </c>
      <c r="AD179" s="7" t="s">
        <v>340</v>
      </c>
      <c r="AE179" s="7">
        <v>12200</v>
      </c>
      <c r="AF179" s="7">
        <v>685</v>
      </c>
      <c r="AG179" s="7" t="s">
        <v>340</v>
      </c>
      <c r="AH179" s="5">
        <v>1</v>
      </c>
      <c r="AI179" s="5">
        <v>2</v>
      </c>
      <c r="AJ179" s="9">
        <f>IF(AND(ISNUMBER(F179),ISNUMBER(G179),ISNUMBER(K179),ISNUMBER(L179)),ACOS(MIN(1,COS(RADIANS(90-F179))*COS(RADIANS(90-K179))+SIN(RADIANS(90-F179))*SIN(RADIANS(90-K179))*COS(RADIANS(G179-L179))))*6371,"N/A")</f>
        <v>1010.9470055444191</v>
      </c>
      <c r="AK179" s="10">
        <f>IF(AND(ISNUMBER(F179),ISNUMBER(G179),ISNUMBER(K179),ISNUMBER(L179)),MOD(DEGREES(ATAN2(COS(RADIANS(K179))*SIN(RADIANS(F179))-SIN(RADIANS(K179))*COS(RADIANS(F179))*COS(RADIANS(G179-L179)),SIN(RADIANS(G179-L179))*COS(RADIANS(F179))))+360,360),"N/A")</f>
        <v>38.029173080556177</v>
      </c>
      <c r="AL179" s="10">
        <f>IF(AND(ISNUMBER(F179),ISNUMBER(G179),ISNUMBER(M179),ISNUMBER(N179)),ACOS(MIN(1,COS(RADIANS(90-F179))*COS(RADIANS(90-M179))+SIN(RADIANS(90-F179))*SIN(RADIANS(90-M179))*COS(RADIANS(G179-N179))))*6371,"N/A")</f>
        <v>1258.3067429146865</v>
      </c>
      <c r="AM179" s="10">
        <f>IF(AND(ISNUMBER(F179),ISNUMBER(G179),ISNUMBER(M179),ISNUMBER(N179)),MOD(DEGREES(ATAN2(COS(RADIANS(M179))*SIN(RADIANS(F179))-SIN(RADIANS(M179))*COS(RADIANS(F179))*COS(RADIANS(G179-N179)),SIN(RADIANS(G179-N179))*COS(RADIANS(F179))))+360,360),"N/A")</f>
        <v>311.40702564535195</v>
      </c>
      <c r="AN179" s="2"/>
      <c r="AO179" s="2"/>
    </row>
    <row r="180" spans="1:41" x14ac:dyDescent="0.2">
      <c r="A180" s="4" t="s">
        <v>152</v>
      </c>
      <c r="B180" s="4" t="s">
        <v>142</v>
      </c>
      <c r="C180" s="5" t="s">
        <v>340</v>
      </c>
      <c r="D180" s="4" t="s">
        <v>143</v>
      </c>
      <c r="E180" s="4" t="s">
        <v>144</v>
      </c>
      <c r="F180" s="15">
        <v>45.352027999999997</v>
      </c>
      <c r="G180" s="15">
        <v>22.874167</v>
      </c>
      <c r="H180" s="16">
        <v>1910</v>
      </c>
      <c r="I180" s="4" t="s">
        <v>145</v>
      </c>
      <c r="J180" s="4" t="s">
        <v>153</v>
      </c>
      <c r="K180" s="6">
        <v>38.49</v>
      </c>
      <c r="L180" s="6">
        <v>14.933</v>
      </c>
      <c r="M180" s="5">
        <v>38.5</v>
      </c>
      <c r="N180" s="5">
        <v>35</v>
      </c>
      <c r="O180" s="4" t="s">
        <v>14</v>
      </c>
      <c r="P180" s="5" t="s">
        <v>855</v>
      </c>
      <c r="Q180" s="5" t="s">
        <v>340</v>
      </c>
      <c r="R180" s="4" t="s">
        <v>184</v>
      </c>
      <c r="S180" s="4" t="s">
        <v>1121</v>
      </c>
      <c r="T180" s="7">
        <v>10845</v>
      </c>
      <c r="U180" s="7">
        <v>11718</v>
      </c>
      <c r="V180" s="7">
        <v>12590</v>
      </c>
      <c r="W180" s="15" t="s">
        <v>1344</v>
      </c>
      <c r="X180" s="15" t="s">
        <v>1379</v>
      </c>
      <c r="Y180" s="7" t="s">
        <v>340</v>
      </c>
      <c r="Z180" s="7" t="s">
        <v>340</v>
      </c>
      <c r="AA180" s="7" t="s">
        <v>340</v>
      </c>
      <c r="AB180" s="7" t="s">
        <v>340</v>
      </c>
      <c r="AC180" s="7" t="s">
        <v>340</v>
      </c>
      <c r="AD180" s="7" t="s">
        <v>340</v>
      </c>
      <c r="AE180" s="7">
        <v>11718</v>
      </c>
      <c r="AF180" s="7">
        <v>873</v>
      </c>
      <c r="AG180" s="7" t="s">
        <v>340</v>
      </c>
      <c r="AH180" s="5">
        <v>1</v>
      </c>
      <c r="AI180" s="5">
        <v>2</v>
      </c>
      <c r="AJ180" s="9">
        <f>IF(AND(ISNUMBER(F180),ISNUMBER(G180),ISNUMBER(K180),ISNUMBER(L180)),ACOS(MIN(1,COS(RADIANS(90-F180))*COS(RADIANS(90-K180))+SIN(RADIANS(90-F180))*SIN(RADIANS(90-K180))*COS(RADIANS(G180-L180))))*6371,"N/A")</f>
        <v>1005.8874754148346</v>
      </c>
      <c r="AK180" s="10">
        <f>IF(AND(ISNUMBER(F180),ISNUMBER(G180),ISNUMBER(K180),ISNUMBER(L180)),MOD(DEGREES(ATAN2(COS(RADIANS(K180))*SIN(RADIANS(F180))-SIN(RADIANS(K180))*COS(RADIANS(F180))*COS(RADIANS(G180-L180)),SIN(RADIANS(G180-L180))*COS(RADIANS(F180))))+360,360),"N/A")</f>
        <v>38.133556083367864</v>
      </c>
      <c r="AL180" s="10">
        <f>IF(AND(ISNUMBER(F180),ISNUMBER(G180),ISNUMBER(M180),ISNUMBER(N180)),ACOS(MIN(1,COS(RADIANS(90-F180))*COS(RADIANS(90-M180))+SIN(RADIANS(90-F180))*SIN(RADIANS(90-M180))*COS(RADIANS(G180-N180))))*6371,"N/A")</f>
        <v>1257.4069421183392</v>
      </c>
      <c r="AM180" s="10">
        <f>IF(AND(ISNUMBER(F180),ISNUMBER(G180),ISNUMBER(M180),ISNUMBER(N180)),MOD(DEGREES(ATAN2(COS(RADIANS(M180))*SIN(RADIANS(F180))-SIN(RADIANS(M180))*COS(RADIANS(F180))*COS(RADIANS(G180-N180)),SIN(RADIANS(G180-N180))*COS(RADIANS(F180))))+360,360),"N/A")</f>
        <v>311.16383320844346</v>
      </c>
      <c r="AN180" s="2"/>
      <c r="AO180" s="2"/>
    </row>
    <row r="181" spans="1:41" x14ac:dyDescent="0.2">
      <c r="A181" s="4" t="s">
        <v>392</v>
      </c>
      <c r="B181" s="4" t="s">
        <v>140</v>
      </c>
      <c r="C181" s="5">
        <v>887</v>
      </c>
      <c r="D181" s="4" t="s">
        <v>70</v>
      </c>
      <c r="E181" s="4" t="s">
        <v>101</v>
      </c>
      <c r="F181" s="15">
        <v>37.232999999999997</v>
      </c>
      <c r="G181" s="15">
        <v>17.283000000000001</v>
      </c>
      <c r="H181" s="16">
        <v>-3156</v>
      </c>
      <c r="I181" s="4" t="s">
        <v>223</v>
      </c>
      <c r="J181" s="4" t="s">
        <v>42</v>
      </c>
      <c r="K181" s="6">
        <v>37.747999999999998</v>
      </c>
      <c r="L181" s="6">
        <v>14.999000000000001</v>
      </c>
      <c r="M181" s="5" t="s">
        <v>340</v>
      </c>
      <c r="N181" s="5" t="s">
        <v>340</v>
      </c>
      <c r="O181" s="4" t="s">
        <v>874</v>
      </c>
      <c r="P181" s="5" t="s">
        <v>340</v>
      </c>
      <c r="Q181" s="5">
        <v>9999</v>
      </c>
      <c r="R181" s="4" t="s">
        <v>41</v>
      </c>
      <c r="S181" s="4" t="s">
        <v>1121</v>
      </c>
      <c r="T181" s="7">
        <v>17048</v>
      </c>
      <c r="U181" s="7">
        <v>17294</v>
      </c>
      <c r="V181" s="7">
        <v>17717</v>
      </c>
      <c r="W181" s="15" t="s">
        <v>934</v>
      </c>
      <c r="X181" s="15" t="s">
        <v>1365</v>
      </c>
      <c r="Y181" s="7">
        <v>14650</v>
      </c>
      <c r="Z181" s="7">
        <v>90</v>
      </c>
      <c r="AA181" s="7" t="s">
        <v>340</v>
      </c>
      <c r="AB181" s="7" t="s">
        <v>340</v>
      </c>
      <c r="AC181" s="7">
        <v>16440</v>
      </c>
      <c r="AD181" s="7">
        <v>820</v>
      </c>
      <c r="AE181" s="7">
        <v>17304</v>
      </c>
      <c r="AF181" s="7">
        <v>152</v>
      </c>
      <c r="AG181" s="7" t="s">
        <v>340</v>
      </c>
      <c r="AH181" s="5">
        <v>1</v>
      </c>
      <c r="AI181" s="5">
        <v>1</v>
      </c>
      <c r="AJ181" s="9">
        <f>IF(AND(ISNUMBER(F181),ISNUMBER(G181),ISNUMBER(K181),ISNUMBER(L181)),ACOS(MIN(1,COS(RADIANS(90-F181))*COS(RADIANS(90-K181))+SIN(RADIANS(90-F181))*SIN(RADIANS(90-K181))*COS(RADIANS(G181-L181))))*6371,"N/A")</f>
        <v>209.48519639127639</v>
      </c>
      <c r="AK181" s="10">
        <f>IF(AND(ISNUMBER(F181),ISNUMBER(G181),ISNUMBER(K181),ISNUMBER(L181)),MOD(DEGREES(ATAN2(COS(RADIANS(K181))*SIN(RADIANS(F181))-SIN(RADIANS(K181))*COS(RADIANS(F181))*COS(RADIANS(G181-L181)),SIN(RADIANS(G181-L181))*COS(RADIANS(F181))))+360,360),"N/A")</f>
        <v>105.1667749103176</v>
      </c>
      <c r="AL181" s="10" t="str">
        <f>IF(AND(ISNUMBER(F181),ISNUMBER(G181),ISNUMBER(M181),ISNUMBER(N181)),ACOS(MIN(1,COS(RADIANS(90-F181))*COS(RADIANS(90-M181))+SIN(RADIANS(90-F181))*SIN(RADIANS(90-M181))*COS(RADIANS(G181-N181))))*6371,"N/A")</f>
        <v>N/A</v>
      </c>
      <c r="AM181" s="10" t="str">
        <f>IF(AND(ISNUMBER(F181),ISNUMBER(G181),ISNUMBER(M181),ISNUMBER(N181)),MOD(DEGREES(ATAN2(COS(RADIANS(M181))*SIN(RADIANS(F181))-SIN(RADIANS(M181))*COS(RADIANS(F181))*COS(RADIANS(G181-N181)),SIN(RADIANS(G181-N181))*COS(RADIANS(F181))))+360,360),"N/A")</f>
        <v>N/A</v>
      </c>
      <c r="AN181" s="2"/>
      <c r="AO181" s="2"/>
    </row>
    <row r="182" spans="1:41" x14ac:dyDescent="0.2">
      <c r="A182" s="4" t="s">
        <v>390</v>
      </c>
      <c r="B182" s="4" t="s">
        <v>139</v>
      </c>
      <c r="C182" s="5">
        <v>882</v>
      </c>
      <c r="D182" s="4" t="s">
        <v>70</v>
      </c>
      <c r="E182" s="4" t="s">
        <v>105</v>
      </c>
      <c r="F182" s="15">
        <v>35.667000000000002</v>
      </c>
      <c r="G182" s="15">
        <v>26.3</v>
      </c>
      <c r="H182" s="16">
        <v>-2283</v>
      </c>
      <c r="I182" s="4" t="s">
        <v>223</v>
      </c>
      <c r="J182" s="4" t="s">
        <v>241</v>
      </c>
      <c r="K182" s="6">
        <v>36.404000000000003</v>
      </c>
      <c r="L182" s="6">
        <v>25.396000000000001</v>
      </c>
      <c r="M182" s="5" t="s">
        <v>340</v>
      </c>
      <c r="N182" s="5" t="s">
        <v>340</v>
      </c>
      <c r="O182" s="4" t="s">
        <v>246</v>
      </c>
      <c r="P182" s="5" t="s">
        <v>340</v>
      </c>
      <c r="Q182" s="5">
        <v>9999</v>
      </c>
      <c r="R182" s="4" t="s">
        <v>41</v>
      </c>
      <c r="S182" s="4" t="s">
        <v>1121</v>
      </c>
      <c r="T182" s="7">
        <v>21353</v>
      </c>
      <c r="U182" s="7">
        <v>22170</v>
      </c>
      <c r="V182" s="7">
        <v>22575</v>
      </c>
      <c r="W182" s="15" t="s">
        <v>933</v>
      </c>
      <c r="X182" s="15" t="s">
        <v>1358</v>
      </c>
      <c r="Y182" s="7" t="s">
        <v>340</v>
      </c>
      <c r="Z182" s="7" t="s">
        <v>340</v>
      </c>
      <c r="AA182" s="7" t="s">
        <v>340</v>
      </c>
      <c r="AB182" s="7" t="s">
        <v>340</v>
      </c>
      <c r="AC182" s="7" t="s">
        <v>340</v>
      </c>
      <c r="AD182" s="7" t="s">
        <v>340</v>
      </c>
      <c r="AE182" s="7">
        <v>22101</v>
      </c>
      <c r="AF182" s="7">
        <v>308</v>
      </c>
      <c r="AG182" s="7" t="s">
        <v>340</v>
      </c>
      <c r="AH182" s="5">
        <v>1</v>
      </c>
      <c r="AI182" s="5">
        <v>1</v>
      </c>
      <c r="AJ182" s="9">
        <f>IF(AND(ISNUMBER(F182),ISNUMBER(G182),ISNUMBER(K182),ISNUMBER(L182)),ACOS(MIN(1,COS(RADIANS(90-F182))*COS(RADIANS(90-K182))+SIN(RADIANS(90-F182))*SIN(RADIANS(90-K182))*COS(RADIANS(G182-L182))))*6371,"N/A")</f>
        <v>115.42543589718353</v>
      </c>
      <c r="AK182" s="10">
        <f>IF(AND(ISNUMBER(F182),ISNUMBER(G182),ISNUMBER(K182),ISNUMBER(L182)),MOD(DEGREES(ATAN2(COS(RADIANS(K182))*SIN(RADIANS(F182))-SIN(RADIANS(K182))*COS(RADIANS(F182))*COS(RADIANS(G182-L182)),SIN(RADIANS(G182-L182))*COS(RADIANS(F182))))+360,360),"N/A")</f>
        <v>134.96660924941102</v>
      </c>
      <c r="AL182" s="10" t="str">
        <f>IF(AND(ISNUMBER(F182),ISNUMBER(G182),ISNUMBER(M182),ISNUMBER(N182)),ACOS(MIN(1,COS(RADIANS(90-F182))*COS(RADIANS(90-M182))+SIN(RADIANS(90-F182))*SIN(RADIANS(90-M182))*COS(RADIANS(G182-N182))))*6371,"N/A")</f>
        <v>N/A</v>
      </c>
      <c r="AM182" s="10" t="str">
        <f>IF(AND(ISNUMBER(F182),ISNUMBER(G182),ISNUMBER(M182),ISNUMBER(N182)),MOD(DEGREES(ATAN2(COS(RADIANS(M182))*SIN(RADIANS(F182))-SIN(RADIANS(M182))*COS(RADIANS(F182))*COS(RADIANS(G182-N182)),SIN(RADIANS(G182-N182))*COS(RADIANS(F182))))+360,360),"N/A")</f>
        <v>N/A</v>
      </c>
      <c r="AN182" s="2"/>
      <c r="AO182" s="2"/>
    </row>
    <row r="183" spans="1:41" x14ac:dyDescent="0.2">
      <c r="A183" s="4" t="s">
        <v>391</v>
      </c>
      <c r="B183" s="4" t="s">
        <v>139</v>
      </c>
      <c r="C183" s="5">
        <v>882</v>
      </c>
      <c r="D183" s="4" t="s">
        <v>70</v>
      </c>
      <c r="E183" s="4" t="s">
        <v>105</v>
      </c>
      <c r="F183" s="15">
        <v>35.667000000000002</v>
      </c>
      <c r="G183" s="15">
        <v>26.3</v>
      </c>
      <c r="H183" s="16">
        <v>-2283</v>
      </c>
      <c r="I183" s="4" t="s">
        <v>223</v>
      </c>
      <c r="J183" s="4" t="s">
        <v>241</v>
      </c>
      <c r="K183" s="6">
        <v>36.404000000000003</v>
      </c>
      <c r="L183" s="6">
        <v>25.396000000000001</v>
      </c>
      <c r="M183" s="5" t="s">
        <v>340</v>
      </c>
      <c r="N183" s="5" t="s">
        <v>340</v>
      </c>
      <c r="O183" s="4" t="s">
        <v>387</v>
      </c>
      <c r="P183" s="5" t="s">
        <v>340</v>
      </c>
      <c r="Q183" s="5">
        <v>9999</v>
      </c>
      <c r="R183" s="4" t="s">
        <v>41</v>
      </c>
      <c r="S183" s="4" t="s">
        <v>1121</v>
      </c>
      <c r="T183" s="7">
        <v>3510</v>
      </c>
      <c r="U183" s="7">
        <v>3535</v>
      </c>
      <c r="V183" s="7">
        <v>3559</v>
      </c>
      <c r="W183" s="21" t="s">
        <v>935</v>
      </c>
      <c r="X183" s="21" t="s">
        <v>852</v>
      </c>
      <c r="Y183" s="7" t="s">
        <v>340</v>
      </c>
      <c r="Z183" s="7" t="s">
        <v>340</v>
      </c>
      <c r="AA183" s="7" t="s">
        <v>340</v>
      </c>
      <c r="AB183" s="7" t="s">
        <v>340</v>
      </c>
      <c r="AC183" s="7" t="s">
        <v>340</v>
      </c>
      <c r="AD183" s="7" t="s">
        <v>340</v>
      </c>
      <c r="AE183" s="7">
        <v>3535</v>
      </c>
      <c r="AF183" s="7">
        <v>25</v>
      </c>
      <c r="AG183" s="7" t="s">
        <v>340</v>
      </c>
      <c r="AH183" s="5">
        <v>1</v>
      </c>
      <c r="AI183" s="5">
        <v>1</v>
      </c>
      <c r="AJ183" s="9">
        <f>IF(AND(ISNUMBER(F183),ISNUMBER(G183),ISNUMBER(K183),ISNUMBER(L183)),ACOS(MIN(1,COS(RADIANS(90-F183))*COS(RADIANS(90-K183))+SIN(RADIANS(90-F183))*SIN(RADIANS(90-K183))*COS(RADIANS(G183-L183))))*6371,"N/A")</f>
        <v>115.42543589718353</v>
      </c>
      <c r="AK183" s="10">
        <f>IF(AND(ISNUMBER(F183),ISNUMBER(G183),ISNUMBER(K183),ISNUMBER(L183)),MOD(DEGREES(ATAN2(COS(RADIANS(K183))*SIN(RADIANS(F183))-SIN(RADIANS(K183))*COS(RADIANS(F183))*COS(RADIANS(G183-L183)),SIN(RADIANS(G183-L183))*COS(RADIANS(F183))))+360,360),"N/A")</f>
        <v>134.96660924941102</v>
      </c>
      <c r="AL183" s="10" t="str">
        <f>IF(AND(ISNUMBER(F183),ISNUMBER(G183),ISNUMBER(M183),ISNUMBER(N183)),ACOS(MIN(1,COS(RADIANS(90-F183))*COS(RADIANS(90-M183))+SIN(RADIANS(90-F183))*SIN(RADIANS(90-M183))*COS(RADIANS(G183-N183))))*6371,"N/A")</f>
        <v>N/A</v>
      </c>
      <c r="AM183" s="10" t="str">
        <f>IF(AND(ISNUMBER(F183),ISNUMBER(G183),ISNUMBER(M183),ISNUMBER(N183)),MOD(DEGREES(ATAN2(COS(RADIANS(M183))*SIN(RADIANS(F183))-SIN(RADIANS(M183))*COS(RADIANS(F183))*COS(RADIANS(G183-N183)),SIN(RADIANS(G183-N183))*COS(RADIANS(F183))))+360,360),"N/A")</f>
        <v>N/A</v>
      </c>
      <c r="AN183" s="2"/>
      <c r="AO183" s="2"/>
    </row>
    <row r="184" spans="1:41" x14ac:dyDescent="0.2">
      <c r="A184" s="4" t="s">
        <v>386</v>
      </c>
      <c r="B184" s="4" t="s">
        <v>136</v>
      </c>
      <c r="C184" s="5">
        <v>889</v>
      </c>
      <c r="D184" s="4" t="s">
        <v>70</v>
      </c>
      <c r="E184" s="4" t="s">
        <v>105</v>
      </c>
      <c r="F184" s="15">
        <v>35.950000000000003</v>
      </c>
      <c r="G184" s="15">
        <v>27.067</v>
      </c>
      <c r="H184" s="16">
        <v>-2547</v>
      </c>
      <c r="I184" s="4" t="s">
        <v>223</v>
      </c>
      <c r="J184" s="4" t="s">
        <v>241</v>
      </c>
      <c r="K184" s="6">
        <v>36.404000000000003</v>
      </c>
      <c r="L184" s="6">
        <v>25.396000000000001</v>
      </c>
      <c r="M184" s="5" t="s">
        <v>340</v>
      </c>
      <c r="N184" s="5" t="s">
        <v>340</v>
      </c>
      <c r="O184" s="4" t="s">
        <v>387</v>
      </c>
      <c r="P184" s="5" t="s">
        <v>340</v>
      </c>
      <c r="Q184" s="5">
        <v>9999</v>
      </c>
      <c r="R184" s="4" t="s">
        <v>41</v>
      </c>
      <c r="S184" s="4" t="s">
        <v>1121</v>
      </c>
      <c r="T184" s="7">
        <v>3510</v>
      </c>
      <c r="U184" s="7">
        <v>3535</v>
      </c>
      <c r="V184" s="7">
        <v>3559</v>
      </c>
      <c r="W184" s="21" t="s">
        <v>935</v>
      </c>
      <c r="X184" s="21" t="s">
        <v>852</v>
      </c>
      <c r="Y184" s="7" t="s">
        <v>340</v>
      </c>
      <c r="Z184" s="7" t="s">
        <v>340</v>
      </c>
      <c r="AA184" s="7" t="s">
        <v>340</v>
      </c>
      <c r="AB184" s="7" t="s">
        <v>340</v>
      </c>
      <c r="AC184" s="7" t="s">
        <v>340</v>
      </c>
      <c r="AD184" s="7" t="s">
        <v>340</v>
      </c>
      <c r="AE184" s="7">
        <v>3535</v>
      </c>
      <c r="AF184" s="7">
        <v>25</v>
      </c>
      <c r="AG184" s="7" t="s">
        <v>340</v>
      </c>
      <c r="AH184" s="5">
        <v>1</v>
      </c>
      <c r="AI184" s="5">
        <v>1</v>
      </c>
      <c r="AJ184" s="9">
        <f>IF(AND(ISNUMBER(F184),ISNUMBER(G184),ISNUMBER(K184),ISNUMBER(L184)),ACOS(MIN(1,COS(RADIANS(90-F184))*COS(RADIANS(90-K184))+SIN(RADIANS(90-F184))*SIN(RADIANS(90-K184))*COS(RADIANS(G184-L184))))*6371,"N/A")</f>
        <v>158.24799468351057</v>
      </c>
      <c r="AK184" s="10">
        <f>IF(AND(ISNUMBER(F184),ISNUMBER(G184),ISNUMBER(K184),ISNUMBER(L184)),MOD(DEGREES(ATAN2(COS(RADIANS(K184))*SIN(RADIANS(F184))-SIN(RADIANS(K184))*COS(RADIANS(F184))*COS(RADIANS(G184-L184)),SIN(RADIANS(G184-L184))*COS(RADIANS(F184))))+360,360),"N/A")</f>
        <v>108.10817742013143</v>
      </c>
      <c r="AL184" s="10" t="str">
        <f>IF(AND(ISNUMBER(F184),ISNUMBER(G184),ISNUMBER(M184),ISNUMBER(N184)),ACOS(MIN(1,COS(RADIANS(90-F184))*COS(RADIANS(90-M184))+SIN(RADIANS(90-F184))*SIN(RADIANS(90-M184))*COS(RADIANS(G184-N184))))*6371,"N/A")</f>
        <v>N/A</v>
      </c>
      <c r="AM184" s="10" t="str">
        <f>IF(AND(ISNUMBER(F184),ISNUMBER(G184),ISNUMBER(M184),ISNUMBER(N184)),MOD(DEGREES(ATAN2(COS(RADIANS(M184))*SIN(RADIANS(F184))-SIN(RADIANS(M184))*COS(RADIANS(F184))*COS(RADIANS(G184-N184)),SIN(RADIANS(G184-N184))*COS(RADIANS(F184))))+360,360),"N/A")</f>
        <v>N/A</v>
      </c>
      <c r="AN184" s="2"/>
      <c r="AO184" s="2"/>
    </row>
    <row r="185" spans="1:41" x14ac:dyDescent="0.2">
      <c r="A185" s="4" t="s">
        <v>388</v>
      </c>
      <c r="B185" s="4" t="s">
        <v>137</v>
      </c>
      <c r="C185" s="5">
        <v>890</v>
      </c>
      <c r="D185" s="4" t="s">
        <v>70</v>
      </c>
      <c r="E185" s="4" t="s">
        <v>73</v>
      </c>
      <c r="F185" s="15">
        <v>35</v>
      </c>
      <c r="G185" s="15">
        <v>27.817</v>
      </c>
      <c r="H185" s="16">
        <v>-2595</v>
      </c>
      <c r="I185" s="4" t="s">
        <v>223</v>
      </c>
      <c r="J185" s="4" t="s">
        <v>241</v>
      </c>
      <c r="K185" s="6">
        <v>36.404000000000003</v>
      </c>
      <c r="L185" s="6">
        <v>25.396000000000001</v>
      </c>
      <c r="M185" s="5" t="s">
        <v>340</v>
      </c>
      <c r="N185" s="5" t="s">
        <v>340</v>
      </c>
      <c r="O185" s="4" t="s">
        <v>387</v>
      </c>
      <c r="P185" s="5" t="s">
        <v>340</v>
      </c>
      <c r="Q185" s="5">
        <v>9999</v>
      </c>
      <c r="R185" s="4" t="s">
        <v>41</v>
      </c>
      <c r="S185" s="4" t="s">
        <v>1121</v>
      </c>
      <c r="T185" s="7">
        <v>3510</v>
      </c>
      <c r="U185" s="7">
        <v>3535</v>
      </c>
      <c r="V185" s="7">
        <v>3559</v>
      </c>
      <c r="W185" s="21" t="s">
        <v>935</v>
      </c>
      <c r="X185" s="21" t="s">
        <v>852</v>
      </c>
      <c r="Y185" s="7" t="s">
        <v>340</v>
      </c>
      <c r="Z185" s="7" t="s">
        <v>340</v>
      </c>
      <c r="AA185" s="7" t="s">
        <v>340</v>
      </c>
      <c r="AB185" s="7" t="s">
        <v>340</v>
      </c>
      <c r="AC185" s="7" t="s">
        <v>340</v>
      </c>
      <c r="AD185" s="7" t="s">
        <v>340</v>
      </c>
      <c r="AE185" s="7">
        <v>3535</v>
      </c>
      <c r="AF185" s="7">
        <v>25</v>
      </c>
      <c r="AG185" s="7" t="s">
        <v>340</v>
      </c>
      <c r="AH185" s="5">
        <v>1</v>
      </c>
      <c r="AI185" s="5">
        <v>1</v>
      </c>
      <c r="AJ185" s="9">
        <f>IF(AND(ISNUMBER(F185),ISNUMBER(G185),ISNUMBER(K185),ISNUMBER(L185)),ACOS(MIN(1,COS(RADIANS(90-F185))*COS(RADIANS(90-K185))+SIN(RADIANS(90-F185))*SIN(RADIANS(90-K185))*COS(RADIANS(G185-L185))))*6371,"N/A")</f>
        <v>268.61579017130998</v>
      </c>
      <c r="AK185" s="10">
        <f>IF(AND(ISNUMBER(F185),ISNUMBER(G185),ISNUMBER(K185),ISNUMBER(L185)),MOD(DEGREES(ATAN2(COS(RADIANS(K185))*SIN(RADIANS(F185))-SIN(RADIANS(K185))*COS(RADIANS(F185))*COS(RADIANS(G185-L185)),SIN(RADIANS(G185-L185))*COS(RADIANS(F185))))+360,360),"N/A")</f>
        <v>124.82085293955475</v>
      </c>
      <c r="AL185" s="10" t="str">
        <f>IF(AND(ISNUMBER(F185),ISNUMBER(G185),ISNUMBER(M185),ISNUMBER(N185)),ACOS(MIN(1,COS(RADIANS(90-F185))*COS(RADIANS(90-M185))+SIN(RADIANS(90-F185))*SIN(RADIANS(90-M185))*COS(RADIANS(G185-N185))))*6371,"N/A")</f>
        <v>N/A</v>
      </c>
      <c r="AM185" s="10" t="str">
        <f>IF(AND(ISNUMBER(F185),ISNUMBER(G185),ISNUMBER(M185),ISNUMBER(N185)),MOD(DEGREES(ATAN2(COS(RADIANS(M185))*SIN(RADIANS(F185))-SIN(RADIANS(M185))*COS(RADIANS(F185))*COS(RADIANS(G185-N185)),SIN(RADIANS(G185-N185))*COS(RADIANS(F185))))+360,360),"N/A")</f>
        <v>N/A</v>
      </c>
      <c r="AN185" s="2"/>
      <c r="AO185" s="2"/>
    </row>
    <row r="186" spans="1:41" x14ac:dyDescent="0.2">
      <c r="A186" s="4" t="s">
        <v>389</v>
      </c>
      <c r="B186" s="4" t="s">
        <v>138</v>
      </c>
      <c r="C186" s="5">
        <v>891</v>
      </c>
      <c r="D186" s="4" t="s">
        <v>70</v>
      </c>
      <c r="E186" s="4" t="s">
        <v>73</v>
      </c>
      <c r="F186" s="15">
        <v>33.35</v>
      </c>
      <c r="G186" s="15">
        <v>28.417000000000002</v>
      </c>
      <c r="H186" s="16">
        <v>-3115</v>
      </c>
      <c r="I186" s="4" t="s">
        <v>223</v>
      </c>
      <c r="J186" s="4" t="s">
        <v>241</v>
      </c>
      <c r="K186" s="6">
        <v>36.404000000000003</v>
      </c>
      <c r="L186" s="6">
        <v>25.396000000000001</v>
      </c>
      <c r="M186" s="5" t="s">
        <v>340</v>
      </c>
      <c r="N186" s="5" t="s">
        <v>340</v>
      </c>
      <c r="O186" s="4" t="s">
        <v>387</v>
      </c>
      <c r="P186" s="5" t="s">
        <v>340</v>
      </c>
      <c r="Q186" s="5">
        <v>9999</v>
      </c>
      <c r="R186" s="4" t="s">
        <v>41</v>
      </c>
      <c r="S186" s="4" t="s">
        <v>1121</v>
      </c>
      <c r="T186" s="7">
        <v>3510</v>
      </c>
      <c r="U186" s="7">
        <v>3535</v>
      </c>
      <c r="V186" s="7">
        <v>3559</v>
      </c>
      <c r="W186" s="21" t="s">
        <v>935</v>
      </c>
      <c r="X186" s="21" t="s">
        <v>852</v>
      </c>
      <c r="Y186" s="7" t="s">
        <v>340</v>
      </c>
      <c r="Z186" s="7" t="s">
        <v>340</v>
      </c>
      <c r="AA186" s="7" t="s">
        <v>340</v>
      </c>
      <c r="AB186" s="7" t="s">
        <v>340</v>
      </c>
      <c r="AC186" s="7" t="s">
        <v>340</v>
      </c>
      <c r="AD186" s="7" t="s">
        <v>340</v>
      </c>
      <c r="AE186" s="7">
        <v>3535</v>
      </c>
      <c r="AF186" s="7">
        <v>25</v>
      </c>
      <c r="AG186" s="7" t="s">
        <v>340</v>
      </c>
      <c r="AH186" s="5">
        <v>1</v>
      </c>
      <c r="AI186" s="5">
        <v>1</v>
      </c>
      <c r="AJ186" s="9">
        <f>IF(AND(ISNUMBER(F186),ISNUMBER(G186),ISNUMBER(K186),ISNUMBER(L186)),ACOS(MIN(1,COS(RADIANS(90-F186))*COS(RADIANS(90-K186))+SIN(RADIANS(90-F186))*SIN(RADIANS(90-K186))*COS(RADIANS(G186-L186))))*6371,"N/A")</f>
        <v>437.2832377294431</v>
      </c>
      <c r="AK186" s="10">
        <f>IF(AND(ISNUMBER(F186),ISNUMBER(G186),ISNUMBER(K186),ISNUMBER(L186)),MOD(DEGREES(ATAN2(COS(RADIANS(K186))*SIN(RADIANS(F186))-SIN(RADIANS(K186))*COS(RADIANS(F186))*COS(RADIANS(G186-L186)),SIN(RADIANS(G186-L186))*COS(RADIANS(F186))))+360,360),"N/A")</f>
        <v>140.06610267897645</v>
      </c>
      <c r="AL186" s="10" t="str">
        <f>IF(AND(ISNUMBER(F186),ISNUMBER(G186),ISNUMBER(M186),ISNUMBER(N186)),ACOS(MIN(1,COS(RADIANS(90-F186))*COS(RADIANS(90-M186))+SIN(RADIANS(90-F186))*SIN(RADIANS(90-M186))*COS(RADIANS(G186-N186))))*6371,"N/A")</f>
        <v>N/A</v>
      </c>
      <c r="AM186" s="10" t="str">
        <f>IF(AND(ISNUMBER(F186),ISNUMBER(G186),ISNUMBER(M186),ISNUMBER(N186)),MOD(DEGREES(ATAN2(COS(RADIANS(M186))*SIN(RADIANS(F186))-SIN(RADIANS(M186))*COS(RADIANS(F186))*COS(RADIANS(G186-N186)),SIN(RADIANS(G186-N186))*COS(RADIANS(F186))))+360,360),"N/A")</f>
        <v>N/A</v>
      </c>
      <c r="AN186" s="2"/>
      <c r="AO186" s="2"/>
    </row>
    <row r="187" spans="1:41" x14ac:dyDescent="0.2">
      <c r="A187" s="4" t="s">
        <v>509</v>
      </c>
      <c r="B187" s="4" t="s">
        <v>122</v>
      </c>
      <c r="C187" s="5">
        <v>877</v>
      </c>
      <c r="D187" s="4" t="s">
        <v>70</v>
      </c>
      <c r="E187" s="4" t="s">
        <v>73</v>
      </c>
      <c r="F187" s="15">
        <v>34.450000000000003</v>
      </c>
      <c r="G187" s="15">
        <v>20.117000000000001</v>
      </c>
      <c r="H187" s="16">
        <v>-2858</v>
      </c>
      <c r="I187" s="4" t="s">
        <v>223</v>
      </c>
      <c r="J187" s="4" t="s">
        <v>42</v>
      </c>
      <c r="K187" s="6">
        <v>37.747999999999998</v>
      </c>
      <c r="L187" s="6">
        <v>14.999000000000001</v>
      </c>
      <c r="M187" s="5" t="s">
        <v>340</v>
      </c>
      <c r="N187" s="5" t="s">
        <v>340</v>
      </c>
      <c r="O187" s="4" t="s">
        <v>874</v>
      </c>
      <c r="P187" s="5" t="s">
        <v>340</v>
      </c>
      <c r="Q187" s="5">
        <v>9999</v>
      </c>
      <c r="R187" s="4" t="s">
        <v>698</v>
      </c>
      <c r="S187" s="4" t="s">
        <v>876</v>
      </c>
      <c r="T187" s="7">
        <v>17048</v>
      </c>
      <c r="U187" s="7">
        <v>17294</v>
      </c>
      <c r="V187" s="7">
        <v>17717</v>
      </c>
      <c r="W187" s="15" t="s">
        <v>934</v>
      </c>
      <c r="X187" s="15" t="s">
        <v>1365</v>
      </c>
      <c r="Y187" s="7">
        <v>14650</v>
      </c>
      <c r="Z187" s="7">
        <v>90</v>
      </c>
      <c r="AA187" s="7" t="s">
        <v>340</v>
      </c>
      <c r="AB187" s="7" t="s">
        <v>340</v>
      </c>
      <c r="AC187" s="7">
        <v>16440</v>
      </c>
      <c r="AD187" s="7">
        <v>820</v>
      </c>
      <c r="AE187" s="7">
        <v>17304</v>
      </c>
      <c r="AF187" s="7">
        <v>152</v>
      </c>
      <c r="AG187" s="7" t="s">
        <v>340</v>
      </c>
      <c r="AH187" s="5">
        <v>1</v>
      </c>
      <c r="AI187" s="5">
        <v>1</v>
      </c>
      <c r="AJ187" s="9">
        <f>IF(AND(ISNUMBER(F187),ISNUMBER(G187),ISNUMBER(K187),ISNUMBER(L187)),ACOS(MIN(1,COS(RADIANS(90-F187))*COS(RADIANS(90-K187))+SIN(RADIANS(90-F187))*SIN(RADIANS(90-K187))*COS(RADIANS(G187-L187))))*6371,"N/A")</f>
        <v>587.9854348050311</v>
      </c>
      <c r="AK187" s="10">
        <f>IF(AND(ISNUMBER(F187),ISNUMBER(G187),ISNUMBER(K187),ISNUMBER(L187)),MOD(DEGREES(ATAN2(COS(RADIANS(K187))*SIN(RADIANS(F187))-SIN(RADIANS(K187))*COS(RADIANS(F187))*COS(RADIANS(G187-L187)),SIN(RADIANS(G187-L187))*COS(RADIANS(F187))))+360,360),"N/A")</f>
        <v>127.04145894300757</v>
      </c>
      <c r="AL187" s="10" t="str">
        <f>IF(AND(ISNUMBER(F187),ISNUMBER(G187),ISNUMBER(M187),ISNUMBER(N187)),ACOS(MIN(1,COS(RADIANS(90-F187))*COS(RADIANS(90-M187))+SIN(RADIANS(90-F187))*SIN(RADIANS(90-M187))*COS(RADIANS(G187-N187))))*6371,"N/A")</f>
        <v>N/A</v>
      </c>
      <c r="AM187" s="10" t="str">
        <f>IF(AND(ISNUMBER(F187),ISNUMBER(G187),ISNUMBER(M187),ISNUMBER(N187)),MOD(DEGREES(ATAN2(COS(RADIANS(M187))*SIN(RADIANS(F187))-SIN(RADIANS(M187))*COS(RADIANS(F187))*COS(RADIANS(G187-N187)),SIN(RADIANS(G187-N187))*COS(RADIANS(F187))))+360,360),"N/A")</f>
        <v>N/A</v>
      </c>
      <c r="AN187" s="2"/>
      <c r="AO187" s="2"/>
    </row>
    <row r="188" spans="1:41" x14ac:dyDescent="0.2">
      <c r="A188" s="4" t="s">
        <v>508</v>
      </c>
      <c r="B188" s="4" t="s">
        <v>121</v>
      </c>
      <c r="C188" s="5">
        <v>892</v>
      </c>
      <c r="D188" s="4" t="s">
        <v>70</v>
      </c>
      <c r="E188" s="4" t="s">
        <v>73</v>
      </c>
      <c r="F188" s="15">
        <v>33.85</v>
      </c>
      <c r="G188" s="15">
        <v>32.267000000000003</v>
      </c>
      <c r="H188" s="16">
        <v>-2639</v>
      </c>
      <c r="I188" s="4" t="s">
        <v>223</v>
      </c>
      <c r="J188" s="4" t="s">
        <v>241</v>
      </c>
      <c r="K188" s="6">
        <v>36.404000000000003</v>
      </c>
      <c r="L188" s="6">
        <v>25.396000000000001</v>
      </c>
      <c r="M188" s="5" t="s">
        <v>340</v>
      </c>
      <c r="N188" s="5" t="s">
        <v>340</v>
      </c>
      <c r="O188" s="4" t="s">
        <v>246</v>
      </c>
      <c r="P188" s="5" t="s">
        <v>340</v>
      </c>
      <c r="Q188" s="5">
        <v>9999</v>
      </c>
      <c r="R188" s="4" t="s">
        <v>698</v>
      </c>
      <c r="S188" s="4" t="s">
        <v>1121</v>
      </c>
      <c r="T188" s="7">
        <v>21353</v>
      </c>
      <c r="U188" s="7">
        <v>22170</v>
      </c>
      <c r="V188" s="7">
        <v>22575</v>
      </c>
      <c r="W188" s="15" t="s">
        <v>933</v>
      </c>
      <c r="X188" s="15" t="s">
        <v>1358</v>
      </c>
      <c r="Y188" s="7" t="s">
        <v>340</v>
      </c>
      <c r="Z188" s="7" t="s">
        <v>340</v>
      </c>
      <c r="AA188" s="7" t="s">
        <v>340</v>
      </c>
      <c r="AB188" s="7" t="s">
        <v>340</v>
      </c>
      <c r="AC188" s="7" t="s">
        <v>340</v>
      </c>
      <c r="AD188" s="7" t="s">
        <v>340</v>
      </c>
      <c r="AE188" s="7">
        <v>22101</v>
      </c>
      <c r="AF188" s="7">
        <v>308</v>
      </c>
      <c r="AG188" s="7" t="s">
        <v>340</v>
      </c>
      <c r="AH188" s="5">
        <v>1</v>
      </c>
      <c r="AI188" s="5">
        <v>1</v>
      </c>
      <c r="AJ188" s="9">
        <f>IF(AND(ISNUMBER(F188),ISNUMBER(G188),ISNUMBER(K188),ISNUMBER(L188)),ACOS(MIN(1,COS(RADIANS(90-F188))*COS(RADIANS(90-K188))+SIN(RADIANS(90-F188))*SIN(RADIANS(90-K188))*COS(RADIANS(G188-L188))))*6371,"N/A")</f>
        <v>686.1527172413422</v>
      </c>
      <c r="AK188" s="10">
        <f>IF(AND(ISNUMBER(F188),ISNUMBER(G188),ISNUMBER(K188),ISNUMBER(L188)),MOD(DEGREES(ATAN2(COS(RADIANS(K188))*SIN(RADIANS(F188))-SIN(RADIANS(K188))*COS(RADIANS(F188))*COS(RADIANS(G188-L188)),SIN(RADIANS(G188-L188))*COS(RADIANS(F188))))+360,360),"N/A")</f>
        <v>112.43421886811547</v>
      </c>
      <c r="AL188" s="10" t="str">
        <f>IF(AND(ISNUMBER(F188),ISNUMBER(G188),ISNUMBER(M188),ISNUMBER(N188)),ACOS(MIN(1,COS(RADIANS(90-F188))*COS(RADIANS(90-M188))+SIN(RADIANS(90-F188))*SIN(RADIANS(90-M188))*COS(RADIANS(G188-N188))))*6371,"N/A")</f>
        <v>N/A</v>
      </c>
      <c r="AM188" s="10" t="str">
        <f>IF(AND(ISNUMBER(F188),ISNUMBER(G188),ISNUMBER(M188),ISNUMBER(N188)),MOD(DEGREES(ATAN2(COS(RADIANS(M188))*SIN(RADIANS(F188))-SIN(RADIANS(M188))*COS(RADIANS(F188))*COS(RADIANS(G188-N188)),SIN(RADIANS(G188-N188))*COS(RADIANS(F188))))+360,360),"N/A")</f>
        <v>N/A</v>
      </c>
      <c r="AN188" s="2"/>
      <c r="AO188" s="2"/>
    </row>
    <row r="189" spans="1:41" x14ac:dyDescent="0.2">
      <c r="A189" s="4" t="s">
        <v>713</v>
      </c>
      <c r="B189" s="17" t="s">
        <v>711</v>
      </c>
      <c r="C189" s="5" t="s">
        <v>340</v>
      </c>
      <c r="D189" s="4" t="s">
        <v>70</v>
      </c>
      <c r="E189" s="4" t="s">
        <v>101</v>
      </c>
      <c r="F189" s="15">
        <v>36.570399999999999</v>
      </c>
      <c r="G189" s="15">
        <v>16.329699999999999</v>
      </c>
      <c r="H189" s="16">
        <v>-3338</v>
      </c>
      <c r="I189" s="4" t="s">
        <v>717</v>
      </c>
      <c r="J189" s="4" t="s">
        <v>42</v>
      </c>
      <c r="K189" s="6">
        <v>37.747999999999998</v>
      </c>
      <c r="L189" s="6">
        <v>14.999000000000001</v>
      </c>
      <c r="M189" s="5" t="s">
        <v>340</v>
      </c>
      <c r="N189" s="5" t="s">
        <v>340</v>
      </c>
      <c r="O189" s="4" t="s">
        <v>874</v>
      </c>
      <c r="P189" s="5" t="s">
        <v>340</v>
      </c>
      <c r="Q189" s="5" t="s">
        <v>340</v>
      </c>
      <c r="R189" s="4" t="s">
        <v>698</v>
      </c>
      <c r="S189" s="4" t="s">
        <v>1121</v>
      </c>
      <c r="T189" s="7">
        <v>17048</v>
      </c>
      <c r="U189" s="7">
        <v>17294</v>
      </c>
      <c r="V189" s="7">
        <v>17717</v>
      </c>
      <c r="W189" s="15" t="s">
        <v>934</v>
      </c>
      <c r="X189" s="15" t="s">
        <v>1365</v>
      </c>
      <c r="Y189" s="7">
        <v>14650</v>
      </c>
      <c r="Z189" s="7">
        <v>90</v>
      </c>
      <c r="AA189" s="7" t="s">
        <v>340</v>
      </c>
      <c r="AB189" s="7" t="s">
        <v>340</v>
      </c>
      <c r="AC189" s="7">
        <v>16440</v>
      </c>
      <c r="AD189" s="7">
        <v>820</v>
      </c>
      <c r="AE189" s="7">
        <v>17304</v>
      </c>
      <c r="AF189" s="7">
        <v>152</v>
      </c>
      <c r="AG189" s="7" t="s">
        <v>340</v>
      </c>
      <c r="AH189" s="5">
        <v>1</v>
      </c>
      <c r="AI189" s="5">
        <v>1</v>
      </c>
      <c r="AJ189" s="9">
        <f>IF(AND(ISNUMBER(F189),ISNUMBER(G189),ISNUMBER(K189),ISNUMBER(L189)),ACOS(MIN(1,COS(RADIANS(90-F189))*COS(RADIANS(90-K189))+SIN(RADIANS(90-F189))*SIN(RADIANS(90-K189))*COS(RADIANS(G189-L189))))*6371,"N/A")</f>
        <v>176.21177446500525</v>
      </c>
      <c r="AK189" s="10">
        <f>IF(AND(ISNUMBER(F189),ISNUMBER(G189),ISNUMBER(K189),ISNUMBER(L189)),MOD(DEGREES(ATAN2(COS(RADIANS(K189))*SIN(RADIANS(F189))-SIN(RADIANS(K189))*COS(RADIANS(F189))*COS(RADIANS(G189-L189)),SIN(RADIANS(G189-L189))*COS(RADIANS(F189))))+360,360),"N/A")</f>
        <v>137.59094046287447</v>
      </c>
      <c r="AL189" s="10" t="str">
        <f>IF(AND(ISNUMBER(F189),ISNUMBER(G189),ISNUMBER(M189),ISNUMBER(N189)),ACOS(MIN(1,COS(RADIANS(90-F189))*COS(RADIANS(90-M189))+SIN(RADIANS(90-F189))*SIN(RADIANS(90-M189))*COS(RADIANS(G189-N189))))*6371,"N/A")</f>
        <v>N/A</v>
      </c>
      <c r="AM189" s="10" t="str">
        <f>IF(AND(ISNUMBER(F189),ISNUMBER(G189),ISNUMBER(M189),ISNUMBER(N189)),MOD(DEGREES(ATAN2(COS(RADIANS(M189))*SIN(RADIANS(F189))-SIN(RADIANS(M189))*COS(RADIANS(F189))*COS(RADIANS(G189-N189)),SIN(RADIANS(G189-N189))*COS(RADIANS(F189))))+360,360),"N/A")</f>
        <v>N/A</v>
      </c>
      <c r="AN189" s="2"/>
      <c r="AO189" s="2"/>
    </row>
    <row r="190" spans="1:41" x14ac:dyDescent="0.2">
      <c r="A190" s="4" t="s">
        <v>720</v>
      </c>
      <c r="B190" s="18" t="s">
        <v>710</v>
      </c>
      <c r="C190" s="5" t="s">
        <v>340</v>
      </c>
      <c r="D190" s="4" t="s">
        <v>70</v>
      </c>
      <c r="E190" s="14" t="s">
        <v>101</v>
      </c>
      <c r="F190" s="15">
        <v>35.554000000000002</v>
      </c>
      <c r="G190" s="15">
        <v>17.0276</v>
      </c>
      <c r="H190" s="19">
        <v>-3950</v>
      </c>
      <c r="I190" s="4" t="s">
        <v>717</v>
      </c>
      <c r="J190" s="4" t="s">
        <v>42</v>
      </c>
      <c r="K190" s="6">
        <v>37.747999999999998</v>
      </c>
      <c r="L190" s="6">
        <v>14.999000000000001</v>
      </c>
      <c r="M190" s="5" t="s">
        <v>340</v>
      </c>
      <c r="N190" s="5" t="s">
        <v>340</v>
      </c>
      <c r="O190" s="4" t="s">
        <v>715</v>
      </c>
      <c r="P190" s="5">
        <v>3</v>
      </c>
      <c r="Q190" s="5" t="s">
        <v>340</v>
      </c>
      <c r="R190" s="4" t="s">
        <v>698</v>
      </c>
      <c r="S190" s="4" t="s">
        <v>721</v>
      </c>
      <c r="T190" s="7">
        <f>U190-AF190</f>
        <v>18500</v>
      </c>
      <c r="U190" s="7">
        <f>AE190</f>
        <v>18800</v>
      </c>
      <c r="V190" s="7">
        <f>U190+AF190</f>
        <v>19100</v>
      </c>
      <c r="W190" s="15" t="s">
        <v>716</v>
      </c>
      <c r="X190" s="15" t="s">
        <v>718</v>
      </c>
      <c r="Y190" s="7" t="s">
        <v>340</v>
      </c>
      <c r="Z190" s="7" t="s">
        <v>340</v>
      </c>
      <c r="AA190" s="7" t="s">
        <v>340</v>
      </c>
      <c r="AB190" s="7" t="s">
        <v>340</v>
      </c>
      <c r="AC190" s="7" t="s">
        <v>340</v>
      </c>
      <c r="AD190" s="7" t="s">
        <v>340</v>
      </c>
      <c r="AE190" s="7">
        <v>18800</v>
      </c>
      <c r="AF190" s="7">
        <v>300</v>
      </c>
      <c r="AG190" s="7" t="s">
        <v>340</v>
      </c>
      <c r="AH190" s="5">
        <v>1</v>
      </c>
      <c r="AI190" s="5">
        <v>1</v>
      </c>
      <c r="AJ190" s="9">
        <f>IF(AND(ISNUMBER(F190),ISNUMBER(G190),ISNUMBER(K190),ISNUMBER(L190)),ACOS(MIN(1,COS(RADIANS(90-F190))*COS(RADIANS(90-K190))+SIN(RADIANS(90-F190))*SIN(RADIANS(90-K190))*COS(RADIANS(G190-L190))))*6371,"N/A")</f>
        <v>303.73707580621738</v>
      </c>
      <c r="AK190" s="10">
        <f>IF(AND(ISNUMBER(F190),ISNUMBER(G190),ISNUMBER(K190),ISNUMBER(L190)),MOD(DEGREES(ATAN2(COS(RADIANS(K190))*SIN(RADIANS(F190))-SIN(RADIANS(K190))*COS(RADIANS(F190))*COS(RADIANS(G190-L190)),SIN(RADIANS(G190-L190))*COS(RADIANS(F190))))+360,360),"N/A")</f>
        <v>142.82165642249231</v>
      </c>
      <c r="AL190" s="10" t="str">
        <f>IF(AND(ISNUMBER(F190),ISNUMBER(G190),ISNUMBER(M190),ISNUMBER(N190)),ACOS(MIN(1,COS(RADIANS(90-F190))*COS(RADIANS(90-M190))+SIN(RADIANS(90-F190))*SIN(RADIANS(90-M190))*COS(RADIANS(G190-N190))))*6371,"N/A")</f>
        <v>N/A</v>
      </c>
      <c r="AM190" s="10" t="str">
        <f>IF(AND(ISNUMBER(F190),ISNUMBER(G190),ISNUMBER(M190),ISNUMBER(N190)),MOD(DEGREES(ATAN2(COS(RADIANS(M190))*SIN(RADIANS(F190))-SIN(RADIANS(M190))*COS(RADIANS(F190))*COS(RADIANS(G190-N190)),SIN(RADIANS(G190-N190))*COS(RADIANS(F190))))+360,360),"N/A")</f>
        <v>N/A</v>
      </c>
      <c r="AN190" s="2"/>
      <c r="AO190" s="2"/>
    </row>
    <row r="191" spans="1:41" x14ac:dyDescent="0.2">
      <c r="A191" s="4" t="s">
        <v>714</v>
      </c>
      <c r="B191" s="18" t="s">
        <v>711</v>
      </c>
      <c r="C191" s="5" t="s">
        <v>340</v>
      </c>
      <c r="D191" s="4" t="s">
        <v>70</v>
      </c>
      <c r="E191" s="14" t="s">
        <v>101</v>
      </c>
      <c r="F191" s="15">
        <v>36.570399999999999</v>
      </c>
      <c r="G191" s="15">
        <v>16.329699999999999</v>
      </c>
      <c r="H191" s="19">
        <v>-3338</v>
      </c>
      <c r="I191" s="4" t="s">
        <v>717</v>
      </c>
      <c r="J191" s="4" t="s">
        <v>42</v>
      </c>
      <c r="K191" s="6">
        <v>37.747999999999998</v>
      </c>
      <c r="L191" s="6">
        <v>14.999000000000001</v>
      </c>
      <c r="M191" s="5" t="s">
        <v>340</v>
      </c>
      <c r="N191" s="5" t="s">
        <v>340</v>
      </c>
      <c r="O191" s="4" t="s">
        <v>715</v>
      </c>
      <c r="P191" s="5">
        <v>2</v>
      </c>
      <c r="Q191" s="5" t="s">
        <v>340</v>
      </c>
      <c r="R191" s="4" t="s">
        <v>698</v>
      </c>
      <c r="S191" s="4" t="s">
        <v>1121</v>
      </c>
      <c r="T191" s="7">
        <f>U191-AF191</f>
        <v>18500</v>
      </c>
      <c r="U191" s="7">
        <f>AE191</f>
        <v>18800</v>
      </c>
      <c r="V191" s="7">
        <f>U191+AF191</f>
        <v>19100</v>
      </c>
      <c r="W191" s="15" t="s">
        <v>716</v>
      </c>
      <c r="X191" s="15" t="s">
        <v>718</v>
      </c>
      <c r="Y191" s="7" t="s">
        <v>340</v>
      </c>
      <c r="Z191" s="7" t="s">
        <v>340</v>
      </c>
      <c r="AA191" s="7" t="s">
        <v>340</v>
      </c>
      <c r="AB191" s="7" t="s">
        <v>340</v>
      </c>
      <c r="AC191" s="7" t="s">
        <v>340</v>
      </c>
      <c r="AD191" s="7" t="s">
        <v>340</v>
      </c>
      <c r="AE191" s="7">
        <v>18800</v>
      </c>
      <c r="AF191" s="7">
        <v>300</v>
      </c>
      <c r="AG191" s="7" t="s">
        <v>340</v>
      </c>
      <c r="AH191" s="5">
        <v>1</v>
      </c>
      <c r="AI191" s="5">
        <v>1</v>
      </c>
      <c r="AJ191" s="9">
        <f>IF(AND(ISNUMBER(F191),ISNUMBER(G191),ISNUMBER(K191),ISNUMBER(L191)),ACOS(MIN(1,COS(RADIANS(90-F191))*COS(RADIANS(90-K191))+SIN(RADIANS(90-F191))*SIN(RADIANS(90-K191))*COS(RADIANS(G191-L191))))*6371,"N/A")</f>
        <v>176.21177446500525</v>
      </c>
      <c r="AK191" s="10">
        <f>IF(AND(ISNUMBER(F191),ISNUMBER(G191),ISNUMBER(K191),ISNUMBER(L191)),MOD(DEGREES(ATAN2(COS(RADIANS(K191))*SIN(RADIANS(F191))-SIN(RADIANS(K191))*COS(RADIANS(F191))*COS(RADIANS(G191-L191)),SIN(RADIANS(G191-L191))*COS(RADIANS(F191))))+360,360),"N/A")</f>
        <v>137.59094046287447</v>
      </c>
      <c r="AL191" s="10" t="str">
        <f>IF(AND(ISNUMBER(F191),ISNUMBER(G191),ISNUMBER(M191),ISNUMBER(N191)),ACOS(MIN(1,COS(RADIANS(90-F191))*COS(RADIANS(90-M191))+SIN(RADIANS(90-F191))*SIN(RADIANS(90-M191))*COS(RADIANS(G191-N191))))*6371,"N/A")</f>
        <v>N/A</v>
      </c>
      <c r="AM191" s="10" t="str">
        <f>IF(AND(ISNUMBER(F191),ISNUMBER(G191),ISNUMBER(M191),ISNUMBER(N191)),MOD(DEGREES(ATAN2(COS(RADIANS(M191))*SIN(RADIANS(F191))-SIN(RADIANS(M191))*COS(RADIANS(F191))*COS(RADIANS(G191-N191)),SIN(RADIANS(G191-N191))*COS(RADIANS(F191))))+360,360),"N/A")</f>
        <v>N/A</v>
      </c>
      <c r="AN191" s="2"/>
      <c r="AO191" s="2"/>
    </row>
    <row r="192" spans="1:41" x14ac:dyDescent="0.2">
      <c r="A192" s="4" t="s">
        <v>712</v>
      </c>
      <c r="B192" s="18" t="s">
        <v>711</v>
      </c>
      <c r="C192" s="5" t="s">
        <v>340</v>
      </c>
      <c r="D192" s="4" t="s">
        <v>70</v>
      </c>
      <c r="E192" s="14" t="s">
        <v>101</v>
      </c>
      <c r="F192" s="15">
        <v>36.570399999999999</v>
      </c>
      <c r="G192" s="15">
        <v>16.329699999999999</v>
      </c>
      <c r="H192" s="19">
        <v>-3338</v>
      </c>
      <c r="I192" s="4" t="s">
        <v>717</v>
      </c>
      <c r="J192" s="4" t="s">
        <v>53</v>
      </c>
      <c r="K192" s="6">
        <v>38.49</v>
      </c>
      <c r="L192" s="6">
        <v>14.933</v>
      </c>
      <c r="M192" s="5" t="s">
        <v>340</v>
      </c>
      <c r="N192" s="5" t="s">
        <v>340</v>
      </c>
      <c r="O192" s="4" t="s">
        <v>916</v>
      </c>
      <c r="P192" s="5">
        <v>2</v>
      </c>
      <c r="Q192" s="5" t="s">
        <v>340</v>
      </c>
      <c r="R192" s="4" t="s">
        <v>698</v>
      </c>
      <c r="S192" s="4" t="s">
        <v>719</v>
      </c>
      <c r="T192" s="7">
        <v>7839</v>
      </c>
      <c r="U192" s="7">
        <v>8064</v>
      </c>
      <c r="V192" s="7">
        <v>8288</v>
      </c>
      <c r="W192" s="15" t="s">
        <v>1347</v>
      </c>
      <c r="X192" s="15" t="s">
        <v>1363</v>
      </c>
      <c r="Y192" s="7">
        <v>7770</v>
      </c>
      <c r="Z192" s="7">
        <v>70</v>
      </c>
      <c r="AA192" s="7" t="s">
        <v>340</v>
      </c>
      <c r="AB192" s="7" t="s">
        <v>340</v>
      </c>
      <c r="AC192" s="7" t="s">
        <v>340</v>
      </c>
      <c r="AD192" s="7" t="s">
        <v>340</v>
      </c>
      <c r="AE192" s="7" t="s">
        <v>340</v>
      </c>
      <c r="AF192" s="7" t="s">
        <v>340</v>
      </c>
      <c r="AG192" s="7" t="s">
        <v>340</v>
      </c>
      <c r="AH192" s="5">
        <v>1</v>
      </c>
      <c r="AI192" s="5">
        <v>1</v>
      </c>
      <c r="AJ192" s="9">
        <f>IF(AND(ISNUMBER(F192),ISNUMBER(G192),ISNUMBER(K192),ISNUMBER(L192)),ACOS(MIN(1,COS(RADIANS(90-F192))*COS(RADIANS(90-K192))+SIN(RADIANS(90-F192))*SIN(RADIANS(90-K192))*COS(RADIANS(G192-L192))))*6371,"N/A")</f>
        <v>246.42572303013037</v>
      </c>
      <c r="AK192" s="10">
        <f>IF(AND(ISNUMBER(F192),ISNUMBER(G192),ISNUMBER(K192),ISNUMBER(L192)),MOD(DEGREES(ATAN2(COS(RADIANS(K192))*SIN(RADIANS(F192))-SIN(RADIANS(K192))*COS(RADIANS(F192))*COS(RADIANS(G192-L192)),SIN(RADIANS(G192-L192))*COS(RADIANS(F192))))+360,360),"N/A")</f>
        <v>149.58674461624787</v>
      </c>
      <c r="AL192" s="10" t="str">
        <f>IF(AND(ISNUMBER(F192),ISNUMBER(G192),ISNUMBER(M192),ISNUMBER(N192)),ACOS(MIN(1,COS(RADIANS(90-F192))*COS(RADIANS(90-M192))+SIN(RADIANS(90-F192))*SIN(RADIANS(90-M192))*COS(RADIANS(G192-N192))))*6371,"N/A")</f>
        <v>N/A</v>
      </c>
      <c r="AM192" s="10" t="str">
        <f>IF(AND(ISNUMBER(F192),ISNUMBER(G192),ISNUMBER(M192),ISNUMBER(N192)),MOD(DEGREES(ATAN2(COS(RADIANS(M192))*SIN(RADIANS(F192))-SIN(RADIANS(M192))*COS(RADIANS(F192))*COS(RADIANS(G192-N192)),SIN(RADIANS(G192-N192))*COS(RADIANS(F192))))+360,360),"N/A")</f>
        <v>N/A</v>
      </c>
      <c r="AN192" s="2"/>
      <c r="AO192" s="2"/>
    </row>
    <row r="193" spans="1:41" x14ac:dyDescent="0.2">
      <c r="A193" s="4" t="s">
        <v>364</v>
      </c>
      <c r="B193" s="4" t="s">
        <v>90</v>
      </c>
      <c r="C193" s="5">
        <v>810</v>
      </c>
      <c r="D193" s="4" t="s">
        <v>70</v>
      </c>
      <c r="E193" s="4" t="s">
        <v>77</v>
      </c>
      <c r="F193" s="15">
        <v>41.534999999999997</v>
      </c>
      <c r="G193" s="15">
        <v>31.168299999999999</v>
      </c>
      <c r="H193" s="16">
        <v>-1306</v>
      </c>
      <c r="I193" s="4" t="s">
        <v>1519</v>
      </c>
      <c r="J193" s="4" t="s">
        <v>241</v>
      </c>
      <c r="K193" s="6">
        <v>36.404000000000003</v>
      </c>
      <c r="L193" s="6">
        <v>25.396000000000001</v>
      </c>
      <c r="M193" s="5" t="s">
        <v>340</v>
      </c>
      <c r="N193" s="5" t="s">
        <v>340</v>
      </c>
      <c r="O193" s="4" t="s">
        <v>387</v>
      </c>
      <c r="P193" s="5">
        <v>14</v>
      </c>
      <c r="Q193" s="5">
        <v>9999</v>
      </c>
      <c r="R193" s="4" t="s">
        <v>41</v>
      </c>
      <c r="S193" s="4" t="s">
        <v>1129</v>
      </c>
      <c r="T193" s="7">
        <v>3510</v>
      </c>
      <c r="U193" s="7">
        <v>3535</v>
      </c>
      <c r="V193" s="7">
        <v>3559</v>
      </c>
      <c r="W193" s="21" t="s">
        <v>935</v>
      </c>
      <c r="X193" s="21" t="s">
        <v>852</v>
      </c>
      <c r="Y193" s="7" t="s">
        <v>340</v>
      </c>
      <c r="Z193" s="7" t="s">
        <v>340</v>
      </c>
      <c r="AA193" s="7" t="s">
        <v>340</v>
      </c>
      <c r="AB193" s="7" t="s">
        <v>340</v>
      </c>
      <c r="AC193" s="7" t="s">
        <v>340</v>
      </c>
      <c r="AD193" s="7" t="s">
        <v>340</v>
      </c>
      <c r="AE193" s="7">
        <v>3535</v>
      </c>
      <c r="AF193" s="7">
        <v>25</v>
      </c>
      <c r="AG193" s="7" t="s">
        <v>340</v>
      </c>
      <c r="AH193" s="5">
        <v>1</v>
      </c>
      <c r="AI193" s="5">
        <v>1</v>
      </c>
      <c r="AJ193" s="9">
        <f>IF(AND(ISNUMBER(F193),ISNUMBER(G193),ISNUMBER(K193),ISNUMBER(L193)),ACOS(MIN(1,COS(RADIANS(90-F193))*COS(RADIANS(90-K193))+SIN(RADIANS(90-F193))*SIN(RADIANS(90-K193))*COS(RADIANS(G193-L193))))*6371,"N/A")</f>
        <v>757.60669275980865</v>
      </c>
      <c r="AK193" s="10">
        <f>IF(AND(ISNUMBER(F193),ISNUMBER(G193),ISNUMBER(K193),ISNUMBER(L193)),MOD(DEGREES(ATAN2(COS(RADIANS(K193))*SIN(RADIANS(F193))-SIN(RADIANS(K193))*COS(RADIANS(F193))*COS(RADIANS(G193-L193)),SIN(RADIANS(G193-L193))*COS(RADIANS(F193))))+360,360),"N/A")</f>
        <v>39.39036664351778</v>
      </c>
      <c r="AL193" s="10" t="str">
        <f>IF(AND(ISNUMBER(F193),ISNUMBER(G193),ISNUMBER(M193),ISNUMBER(N193)),ACOS(MIN(1,COS(RADIANS(90-F193))*COS(RADIANS(90-M193))+SIN(RADIANS(90-F193))*SIN(RADIANS(90-M193))*COS(RADIANS(G193-N193))))*6371,"N/A")</f>
        <v>N/A</v>
      </c>
      <c r="AM193" s="10" t="str">
        <f>IF(AND(ISNUMBER(F193),ISNUMBER(G193),ISNUMBER(M193),ISNUMBER(N193)),MOD(DEGREES(ATAN2(COS(RADIANS(M193))*SIN(RADIANS(F193))-SIN(RADIANS(M193))*COS(RADIANS(F193))*COS(RADIANS(G193-N193)),SIN(RADIANS(G193-N193))*COS(RADIANS(F193))))+360,360),"N/A")</f>
        <v>N/A</v>
      </c>
      <c r="AN193" s="2"/>
      <c r="AO193" s="2"/>
    </row>
    <row r="194" spans="1:41" x14ac:dyDescent="0.2">
      <c r="A194" s="4" t="s">
        <v>480</v>
      </c>
      <c r="B194" s="4" t="s">
        <v>114</v>
      </c>
      <c r="C194" s="5">
        <v>808</v>
      </c>
      <c r="D194" s="4" t="s">
        <v>70</v>
      </c>
      <c r="E194" s="4" t="s">
        <v>77</v>
      </c>
      <c r="F194" s="15">
        <v>41.527799999999999</v>
      </c>
      <c r="G194" s="15">
        <v>30.884799999999998</v>
      </c>
      <c r="H194" s="16">
        <v>-1226</v>
      </c>
      <c r="I194" s="4" t="s">
        <v>219</v>
      </c>
      <c r="J194" s="4" t="s">
        <v>241</v>
      </c>
      <c r="K194" s="6">
        <v>36.404000000000003</v>
      </c>
      <c r="L194" s="6">
        <v>25.396000000000001</v>
      </c>
      <c r="M194" s="5" t="s">
        <v>340</v>
      </c>
      <c r="N194" s="5" t="s">
        <v>340</v>
      </c>
      <c r="O194" s="4" t="s">
        <v>246</v>
      </c>
      <c r="P194" s="5">
        <v>13</v>
      </c>
      <c r="Q194" s="5">
        <v>9999</v>
      </c>
      <c r="R194" s="4" t="s">
        <v>41</v>
      </c>
      <c r="S194" s="4" t="s">
        <v>1121</v>
      </c>
      <c r="T194" s="7">
        <v>21353</v>
      </c>
      <c r="U194" s="7">
        <v>22170</v>
      </c>
      <c r="V194" s="7">
        <v>22575</v>
      </c>
      <c r="W194" s="15" t="s">
        <v>933</v>
      </c>
      <c r="X194" s="15" t="s">
        <v>1358</v>
      </c>
      <c r="Y194" s="7" t="s">
        <v>340</v>
      </c>
      <c r="Z194" s="7" t="s">
        <v>340</v>
      </c>
      <c r="AA194" s="7" t="s">
        <v>340</v>
      </c>
      <c r="AB194" s="7" t="s">
        <v>340</v>
      </c>
      <c r="AC194" s="7" t="s">
        <v>340</v>
      </c>
      <c r="AD194" s="7" t="s">
        <v>340</v>
      </c>
      <c r="AE194" s="7">
        <v>22101</v>
      </c>
      <c r="AF194" s="7">
        <v>308</v>
      </c>
      <c r="AG194" s="7" t="s">
        <v>340</v>
      </c>
      <c r="AH194" s="5">
        <v>1</v>
      </c>
      <c r="AI194" s="5">
        <v>1</v>
      </c>
      <c r="AJ194" s="9">
        <f>IF(AND(ISNUMBER(F194),ISNUMBER(G194),ISNUMBER(K194),ISNUMBER(L194)),ACOS(MIN(1,COS(RADIANS(90-F194))*COS(RADIANS(90-K194))+SIN(RADIANS(90-F194))*SIN(RADIANS(90-K194))*COS(RADIANS(G194-L194))))*6371,"N/A")</f>
        <v>741.13490238040777</v>
      </c>
      <c r="AK194" s="10">
        <f>IF(AND(ISNUMBER(F194),ISNUMBER(G194),ISNUMBER(K194),ISNUMBER(L194)),MOD(DEGREES(ATAN2(COS(RADIANS(K194))*SIN(RADIANS(F194))-SIN(RADIANS(K194))*COS(RADIANS(F194))*COS(RADIANS(G194-L194)),SIN(RADIANS(G194-L194))*COS(RADIANS(F194))))+360,360),"N/A")</f>
        <v>38.09377427350563</v>
      </c>
      <c r="AL194" s="10" t="str">
        <f>IF(AND(ISNUMBER(F194),ISNUMBER(G194),ISNUMBER(M194),ISNUMBER(N194)),ACOS(MIN(1,COS(RADIANS(90-F194))*COS(RADIANS(90-M194))+SIN(RADIANS(90-F194))*SIN(RADIANS(90-M194))*COS(RADIANS(G194-N194))))*6371,"N/A")</f>
        <v>N/A</v>
      </c>
      <c r="AM194" s="10" t="str">
        <f>IF(AND(ISNUMBER(F194),ISNUMBER(G194),ISNUMBER(M194),ISNUMBER(N194)),MOD(DEGREES(ATAN2(COS(RADIANS(M194))*SIN(RADIANS(F194))-SIN(RADIANS(M194))*COS(RADIANS(F194))*COS(RADIANS(G194-N194)),SIN(RADIANS(G194-N194))*COS(RADIANS(F194))))+360,360),"N/A")</f>
        <v>N/A</v>
      </c>
      <c r="AN194" s="2"/>
      <c r="AO194" s="2"/>
    </row>
    <row r="195" spans="1:41" x14ac:dyDescent="0.2">
      <c r="A195" s="4" t="s">
        <v>365</v>
      </c>
      <c r="B195" s="4" t="s">
        <v>91</v>
      </c>
      <c r="C195" s="5">
        <v>812</v>
      </c>
      <c r="D195" s="4" t="s">
        <v>70</v>
      </c>
      <c r="E195" s="4" t="s">
        <v>77</v>
      </c>
      <c r="F195" s="15">
        <v>41.5</v>
      </c>
      <c r="G195" s="15">
        <v>31.085000000000001</v>
      </c>
      <c r="H195" s="16">
        <v>-1370</v>
      </c>
      <c r="I195" s="4" t="s">
        <v>1547</v>
      </c>
      <c r="J195" s="4" t="s">
        <v>241</v>
      </c>
      <c r="K195" s="6">
        <v>36.404000000000003</v>
      </c>
      <c r="L195" s="6">
        <v>25.396000000000001</v>
      </c>
      <c r="M195" s="5" t="s">
        <v>340</v>
      </c>
      <c r="N195" s="5" t="s">
        <v>340</v>
      </c>
      <c r="O195" s="4" t="s">
        <v>387</v>
      </c>
      <c r="P195" s="5">
        <v>15</v>
      </c>
      <c r="Q195" s="5">
        <v>9999</v>
      </c>
      <c r="R195" s="4" t="s">
        <v>41</v>
      </c>
      <c r="S195" s="4" t="s">
        <v>1129</v>
      </c>
      <c r="T195" s="7">
        <v>3510</v>
      </c>
      <c r="U195" s="7">
        <v>3535</v>
      </c>
      <c r="V195" s="7">
        <v>3559</v>
      </c>
      <c r="W195" s="21" t="s">
        <v>935</v>
      </c>
      <c r="X195" s="21" t="s">
        <v>852</v>
      </c>
      <c r="Y195" s="7" t="s">
        <v>340</v>
      </c>
      <c r="Z195" s="7" t="s">
        <v>340</v>
      </c>
      <c r="AA195" s="7" t="s">
        <v>340</v>
      </c>
      <c r="AB195" s="7" t="s">
        <v>340</v>
      </c>
      <c r="AC195" s="7" t="s">
        <v>340</v>
      </c>
      <c r="AD195" s="7" t="s">
        <v>340</v>
      </c>
      <c r="AE195" s="7">
        <v>3535</v>
      </c>
      <c r="AF195" s="7">
        <v>25</v>
      </c>
      <c r="AG195" s="7" t="s">
        <v>340</v>
      </c>
      <c r="AH195" s="5">
        <v>1</v>
      </c>
      <c r="AI195" s="5">
        <v>1</v>
      </c>
      <c r="AJ195" s="9">
        <f>IF(AND(ISNUMBER(F195),ISNUMBER(G195),ISNUMBER(K195),ISNUMBER(L195)),ACOS(MIN(1,COS(RADIANS(90-F195))*COS(RADIANS(90-K195))+SIN(RADIANS(90-F195))*SIN(RADIANS(90-K195))*COS(RADIANS(G195-L195))))*6371,"N/A")</f>
        <v>750.03443705711607</v>
      </c>
      <c r="AK195" s="10">
        <f>IF(AND(ISNUMBER(F195),ISNUMBER(G195),ISNUMBER(K195),ISNUMBER(L195)),MOD(DEGREES(ATAN2(COS(RADIANS(K195))*SIN(RADIANS(F195))-SIN(RADIANS(K195))*COS(RADIANS(F195))*COS(RADIANS(G195-L195)),SIN(RADIANS(G195-L195))*COS(RADIANS(F195))))+360,360),"N/A")</f>
        <v>39.2052120511064</v>
      </c>
      <c r="AL195" s="10" t="str">
        <f>IF(AND(ISNUMBER(F195),ISNUMBER(G195),ISNUMBER(M195),ISNUMBER(N195)),ACOS(MIN(1,COS(RADIANS(90-F195))*COS(RADIANS(90-M195))+SIN(RADIANS(90-F195))*SIN(RADIANS(90-M195))*COS(RADIANS(G195-N195))))*6371,"N/A")</f>
        <v>N/A</v>
      </c>
      <c r="AM195" s="10" t="str">
        <f>IF(AND(ISNUMBER(F195),ISNUMBER(G195),ISNUMBER(M195),ISNUMBER(N195)),MOD(DEGREES(ATAN2(COS(RADIANS(M195))*SIN(RADIANS(F195))-SIN(RADIANS(M195))*COS(RADIANS(F195))*COS(RADIANS(G195-N195)),SIN(RADIANS(G195-N195))*COS(RADIANS(F195))))+360,360),"N/A")</f>
        <v>N/A</v>
      </c>
      <c r="AN195" s="2"/>
      <c r="AO195" s="2"/>
    </row>
    <row r="196" spans="1:41" x14ac:dyDescent="0.2">
      <c r="A196" s="4" t="s">
        <v>366</v>
      </c>
      <c r="B196" s="4" t="s">
        <v>92</v>
      </c>
      <c r="C196" s="5">
        <v>811</v>
      </c>
      <c r="D196" s="4" t="s">
        <v>70</v>
      </c>
      <c r="E196" s="4" t="s">
        <v>77</v>
      </c>
      <c r="F196" s="15">
        <v>41.445</v>
      </c>
      <c r="G196" s="15">
        <v>31.066700000000001</v>
      </c>
      <c r="H196" s="16">
        <v>-1242</v>
      </c>
      <c r="I196" s="4" t="s">
        <v>1547</v>
      </c>
      <c r="J196" s="4" t="s">
        <v>241</v>
      </c>
      <c r="K196" s="6">
        <v>36.404000000000003</v>
      </c>
      <c r="L196" s="6">
        <v>25.396000000000001</v>
      </c>
      <c r="M196" s="5" t="s">
        <v>340</v>
      </c>
      <c r="N196" s="5" t="s">
        <v>340</v>
      </c>
      <c r="O196" s="4" t="s">
        <v>387</v>
      </c>
      <c r="P196" s="5">
        <v>13</v>
      </c>
      <c r="Q196" s="5">
        <v>9999</v>
      </c>
      <c r="R196" s="4" t="s">
        <v>41</v>
      </c>
      <c r="S196" s="4" t="s">
        <v>1129</v>
      </c>
      <c r="T196" s="7">
        <v>3510</v>
      </c>
      <c r="U196" s="7">
        <v>3535</v>
      </c>
      <c r="V196" s="7">
        <v>3559</v>
      </c>
      <c r="W196" s="21" t="s">
        <v>935</v>
      </c>
      <c r="X196" s="21" t="s">
        <v>852</v>
      </c>
      <c r="Y196" s="7" t="s">
        <v>340</v>
      </c>
      <c r="Z196" s="7" t="s">
        <v>340</v>
      </c>
      <c r="AA196" s="7" t="s">
        <v>340</v>
      </c>
      <c r="AB196" s="7" t="s">
        <v>340</v>
      </c>
      <c r="AC196" s="7" t="s">
        <v>340</v>
      </c>
      <c r="AD196" s="7" t="s">
        <v>340</v>
      </c>
      <c r="AE196" s="7">
        <v>3535</v>
      </c>
      <c r="AF196" s="7">
        <v>25</v>
      </c>
      <c r="AG196" s="7" t="s">
        <v>340</v>
      </c>
      <c r="AH196" s="5">
        <v>1</v>
      </c>
      <c r="AI196" s="5">
        <v>1</v>
      </c>
      <c r="AJ196" s="9">
        <f>IF(AND(ISNUMBER(F196),ISNUMBER(G196),ISNUMBER(K196),ISNUMBER(L196)),ACOS(MIN(1,COS(RADIANS(90-F196))*COS(RADIANS(90-K196))+SIN(RADIANS(90-F196))*SIN(RADIANS(90-K196))*COS(RADIANS(G196-L196))))*6371,"N/A")</f>
        <v>744.51637259678682</v>
      </c>
      <c r="AK196" s="10">
        <f>IF(AND(ISNUMBER(F196),ISNUMBER(G196),ISNUMBER(K196),ISNUMBER(L196)),MOD(DEGREES(ATAN2(COS(RADIANS(K196))*SIN(RADIANS(F196))-SIN(RADIANS(K196))*COS(RADIANS(F196))*COS(RADIANS(G196-L196)),SIN(RADIANS(G196-L196))*COS(RADIANS(F196))))+360,360),"N/A")</f>
        <v>39.43928975656587</v>
      </c>
      <c r="AL196" s="10" t="str">
        <f>IF(AND(ISNUMBER(F196),ISNUMBER(G196),ISNUMBER(M196),ISNUMBER(N196)),ACOS(MIN(1,COS(RADIANS(90-F196))*COS(RADIANS(90-M196))+SIN(RADIANS(90-F196))*SIN(RADIANS(90-M196))*COS(RADIANS(G196-N196))))*6371,"N/A")</f>
        <v>N/A</v>
      </c>
      <c r="AM196" s="10" t="str">
        <f>IF(AND(ISNUMBER(F196),ISNUMBER(G196),ISNUMBER(M196),ISNUMBER(N196)),MOD(DEGREES(ATAN2(COS(RADIANS(M196))*SIN(RADIANS(F196))-SIN(RADIANS(M196))*COS(RADIANS(F196))*COS(RADIANS(G196-N196)),SIN(RADIANS(G196-N196))*COS(RADIANS(F196))))+360,360),"N/A")</f>
        <v>N/A</v>
      </c>
      <c r="AN196" s="2"/>
      <c r="AO196" s="2"/>
    </row>
    <row r="197" spans="1:41" x14ac:dyDescent="0.2">
      <c r="A197" s="8" t="s">
        <v>235</v>
      </c>
      <c r="B197" s="8" t="s">
        <v>62</v>
      </c>
      <c r="C197" s="20">
        <v>724</v>
      </c>
      <c r="D197" s="8" t="s">
        <v>63</v>
      </c>
      <c r="E197" s="8" t="s">
        <v>64</v>
      </c>
      <c r="F197" s="21">
        <v>46.366700000000002</v>
      </c>
      <c r="G197" s="21">
        <v>14.1</v>
      </c>
      <c r="H197" s="19">
        <v>475</v>
      </c>
      <c r="I197" s="8" t="s">
        <v>238</v>
      </c>
      <c r="J197" s="4" t="s">
        <v>15</v>
      </c>
      <c r="K197" s="6">
        <v>40.826999999999998</v>
      </c>
      <c r="L197" s="6">
        <v>14.138999999999999</v>
      </c>
      <c r="M197" s="5" t="s">
        <v>340</v>
      </c>
      <c r="N197" s="5" t="s">
        <v>340</v>
      </c>
      <c r="O197" s="4" t="s">
        <v>20</v>
      </c>
      <c r="P197" s="5">
        <v>6</v>
      </c>
      <c r="Q197" s="5" t="s">
        <v>237</v>
      </c>
      <c r="R197" s="8" t="s">
        <v>184</v>
      </c>
      <c r="S197" s="4" t="s">
        <v>1121</v>
      </c>
      <c r="T197" s="7">
        <v>13761</v>
      </c>
      <c r="U197" s="7">
        <v>14029</v>
      </c>
      <c r="V197" s="7">
        <v>14356</v>
      </c>
      <c r="W197" s="15" t="s">
        <v>933</v>
      </c>
      <c r="X197" s="15" t="s">
        <v>1358</v>
      </c>
      <c r="Y197" s="7" t="s">
        <v>340</v>
      </c>
      <c r="Z197" s="7" t="s">
        <v>340</v>
      </c>
      <c r="AA197" s="7" t="s">
        <v>340</v>
      </c>
      <c r="AB197" s="7" t="s">
        <v>340</v>
      </c>
      <c r="AC197" s="7">
        <v>14120</v>
      </c>
      <c r="AD197" s="7">
        <v>710</v>
      </c>
      <c r="AE197" s="7">
        <v>14037</v>
      </c>
      <c r="AF197" s="7">
        <v>156</v>
      </c>
      <c r="AG197" s="7" t="s">
        <v>340</v>
      </c>
      <c r="AH197" s="5">
        <v>1</v>
      </c>
      <c r="AI197" s="5">
        <v>1</v>
      </c>
      <c r="AJ197" s="9">
        <f>IF(AND(ISNUMBER(F197),ISNUMBER(G197),ISNUMBER(K197),ISNUMBER(L197)),ACOS(MIN(1,COS(RADIANS(90-F197))*COS(RADIANS(90-K197))+SIN(RADIANS(90-F197))*SIN(RADIANS(90-K197))*COS(RADIANS(G197-L197))))*6371,"N/A")</f>
        <v>615.99451807063963</v>
      </c>
      <c r="AK197" s="10">
        <f>IF(AND(ISNUMBER(F197),ISNUMBER(G197),ISNUMBER(K197),ISNUMBER(L197)),MOD(DEGREES(ATAN2(COS(RADIANS(K197))*SIN(RADIANS(F197))-SIN(RADIANS(K197))*COS(RADIANS(F197))*COS(RADIANS(G197-L197)),SIN(RADIANS(G197-L197))*COS(RADIANS(F197))))+360,360),"N/A")</f>
        <v>359.72122849461027</v>
      </c>
      <c r="AL197" s="10" t="str">
        <f>IF(AND(ISNUMBER(F197),ISNUMBER(G197),ISNUMBER(M197),ISNUMBER(N197)),ACOS(MIN(1,COS(RADIANS(90-F197))*COS(RADIANS(90-M197))+SIN(RADIANS(90-F197))*SIN(RADIANS(90-M197))*COS(RADIANS(G197-N197))))*6371,"N/A")</f>
        <v>N/A</v>
      </c>
      <c r="AM197" s="10" t="str">
        <f>IF(AND(ISNUMBER(F197),ISNUMBER(G197),ISNUMBER(M197),ISNUMBER(N197)),MOD(DEGREES(ATAN2(COS(RADIANS(M197))*SIN(RADIANS(F197))-SIN(RADIANS(M197))*COS(RADIANS(F197))*COS(RADIANS(G197-N197)),SIN(RADIANS(G197-N197))*COS(RADIANS(F197))))+360,360),"N/A")</f>
        <v>N/A</v>
      </c>
      <c r="AN197" s="2"/>
      <c r="AO197" s="2"/>
    </row>
    <row r="198" spans="1:41" x14ac:dyDescent="0.2">
      <c r="A198" s="8" t="s">
        <v>233</v>
      </c>
      <c r="B198" s="8" t="s">
        <v>62</v>
      </c>
      <c r="C198" s="20">
        <v>724</v>
      </c>
      <c r="D198" s="8" t="s">
        <v>63</v>
      </c>
      <c r="E198" s="8" t="s">
        <v>64</v>
      </c>
      <c r="F198" s="21">
        <v>46.366700000000002</v>
      </c>
      <c r="G198" s="21">
        <v>14.1</v>
      </c>
      <c r="H198" s="19">
        <v>475</v>
      </c>
      <c r="I198" s="8" t="s">
        <v>238</v>
      </c>
      <c r="J198" s="8" t="s">
        <v>15</v>
      </c>
      <c r="K198" s="6">
        <v>40.826999999999998</v>
      </c>
      <c r="L198" s="6">
        <v>14.138999999999999</v>
      </c>
      <c r="M198" s="5" t="s">
        <v>340</v>
      </c>
      <c r="N198" s="5" t="s">
        <v>340</v>
      </c>
      <c r="O198" s="8" t="s">
        <v>232</v>
      </c>
      <c r="P198" s="5">
        <v>13</v>
      </c>
      <c r="Q198" s="20" t="s">
        <v>236</v>
      </c>
      <c r="R198" s="8" t="s">
        <v>184</v>
      </c>
      <c r="S198" s="4" t="s">
        <v>1121</v>
      </c>
      <c r="T198" s="7">
        <v>11860</v>
      </c>
      <c r="U198" s="7">
        <v>12096</v>
      </c>
      <c r="V198" s="7">
        <v>12396</v>
      </c>
      <c r="W198" s="15" t="s">
        <v>928</v>
      </c>
      <c r="X198" s="21" t="s">
        <v>1357</v>
      </c>
      <c r="Y198" s="7" t="s">
        <v>340</v>
      </c>
      <c r="Z198" s="7" t="s">
        <v>340</v>
      </c>
      <c r="AA198" s="7" t="s">
        <v>340</v>
      </c>
      <c r="AB198" s="7" t="s">
        <v>340</v>
      </c>
      <c r="AC198" s="7">
        <v>12180</v>
      </c>
      <c r="AD198" s="7">
        <v>610</v>
      </c>
      <c r="AE198" s="7">
        <v>12104</v>
      </c>
      <c r="AF198" s="7">
        <v>141</v>
      </c>
      <c r="AG198" s="7" t="s">
        <v>340</v>
      </c>
      <c r="AH198" s="5">
        <v>1</v>
      </c>
      <c r="AI198" s="5">
        <v>1</v>
      </c>
      <c r="AJ198" s="9">
        <f>IF(AND(ISNUMBER(F198),ISNUMBER(G198),ISNUMBER(K198),ISNUMBER(L198)),ACOS(MIN(1,COS(RADIANS(90-F198))*COS(RADIANS(90-K198))+SIN(RADIANS(90-F198))*SIN(RADIANS(90-K198))*COS(RADIANS(G198-L198))))*6371,"N/A")</f>
        <v>615.99451807063963</v>
      </c>
      <c r="AK198" s="10">
        <f>IF(AND(ISNUMBER(F198),ISNUMBER(G198),ISNUMBER(K198),ISNUMBER(L198)),MOD(DEGREES(ATAN2(COS(RADIANS(K198))*SIN(RADIANS(F198))-SIN(RADIANS(K198))*COS(RADIANS(F198))*COS(RADIANS(G198-L198)),SIN(RADIANS(G198-L198))*COS(RADIANS(F198))))+360,360),"N/A")</f>
        <v>359.72122849461027</v>
      </c>
      <c r="AL198" s="10" t="str">
        <f>IF(AND(ISNUMBER(F198),ISNUMBER(G198),ISNUMBER(M198),ISNUMBER(N198)),ACOS(MIN(1,COS(RADIANS(90-F198))*COS(RADIANS(90-M198))+SIN(RADIANS(90-F198))*SIN(RADIANS(90-M198))*COS(RADIANS(G198-N198))))*6371,"N/A")</f>
        <v>N/A</v>
      </c>
      <c r="AM198" s="10" t="str">
        <f>IF(AND(ISNUMBER(F198),ISNUMBER(G198),ISNUMBER(M198),ISNUMBER(N198)),MOD(DEGREES(ATAN2(COS(RADIANS(M198))*SIN(RADIANS(F198))-SIN(RADIANS(M198))*COS(RADIANS(F198))*COS(RADIANS(G198-N198)),SIN(RADIANS(G198-N198))*COS(RADIANS(F198))))+360,360),"N/A")</f>
        <v>N/A</v>
      </c>
      <c r="AN198" s="2"/>
      <c r="AO198" s="2"/>
    </row>
    <row r="199" spans="1:41" x14ac:dyDescent="0.2">
      <c r="A199" s="8" t="s">
        <v>234</v>
      </c>
      <c r="B199" s="8" t="s">
        <v>62</v>
      </c>
      <c r="C199" s="20">
        <v>724</v>
      </c>
      <c r="D199" s="8" t="s">
        <v>63</v>
      </c>
      <c r="E199" s="8" t="s">
        <v>64</v>
      </c>
      <c r="F199" s="21">
        <v>46.366700000000002</v>
      </c>
      <c r="G199" s="21">
        <v>14.1</v>
      </c>
      <c r="H199" s="19">
        <v>475</v>
      </c>
      <c r="I199" s="8" t="s">
        <v>238</v>
      </c>
      <c r="J199" s="22" t="s">
        <v>186</v>
      </c>
      <c r="K199" s="6">
        <v>63.633000000000003</v>
      </c>
      <c r="L199" s="6">
        <v>19.082999999999998</v>
      </c>
      <c r="M199" s="5" t="s">
        <v>340</v>
      </c>
      <c r="N199" s="5" t="s">
        <v>340</v>
      </c>
      <c r="O199" s="4" t="s">
        <v>185</v>
      </c>
      <c r="P199" s="5">
        <v>5</v>
      </c>
      <c r="Q199" s="5" t="s">
        <v>1053</v>
      </c>
      <c r="R199" s="8" t="s">
        <v>184</v>
      </c>
      <c r="S199" s="4" t="s">
        <v>1121</v>
      </c>
      <c r="T199" s="7">
        <v>11991</v>
      </c>
      <c r="U199" s="7">
        <v>12044</v>
      </c>
      <c r="V199" s="7">
        <v>12097</v>
      </c>
      <c r="W199" s="15" t="s">
        <v>914</v>
      </c>
      <c r="X199" s="15" t="s">
        <v>1380</v>
      </c>
      <c r="Y199" s="7" t="s">
        <v>340</v>
      </c>
      <c r="Z199" s="7" t="s">
        <v>340</v>
      </c>
      <c r="AA199" s="7" t="s">
        <v>340</v>
      </c>
      <c r="AB199" s="7" t="s">
        <v>340</v>
      </c>
      <c r="AC199" s="7" t="s">
        <v>340</v>
      </c>
      <c r="AD199" s="7" t="s">
        <v>340</v>
      </c>
      <c r="AE199" s="7">
        <v>12044</v>
      </c>
      <c r="AF199" s="7">
        <v>53</v>
      </c>
      <c r="AG199" s="7" t="s">
        <v>340</v>
      </c>
      <c r="AH199" s="5">
        <v>1</v>
      </c>
      <c r="AI199" s="5">
        <v>1</v>
      </c>
      <c r="AJ199" s="9">
        <f>IF(AND(ISNUMBER(F199),ISNUMBER(G199),ISNUMBER(K199),ISNUMBER(L199)),ACOS(MIN(1,COS(RADIANS(90-F199))*COS(RADIANS(90-K199))+SIN(RADIANS(90-F199))*SIN(RADIANS(90-K199))*COS(RADIANS(G199-L199))))*6371,"N/A")</f>
        <v>1944.6325994791391</v>
      </c>
      <c r="AK199" s="10">
        <f>IF(AND(ISNUMBER(F199),ISNUMBER(G199),ISNUMBER(K199),ISNUMBER(L199)),MOD(DEGREES(ATAN2(COS(RADIANS(K199))*SIN(RADIANS(F199))-SIN(RADIANS(K199))*COS(RADIANS(F199))*COS(RADIANS(G199-L199)),SIN(RADIANS(G199-L199))*COS(RADIANS(F199))))+360,360),"N/A")</f>
        <v>191.50468522501166</v>
      </c>
      <c r="AL199" s="10" t="str">
        <f>IF(AND(ISNUMBER(F199),ISNUMBER(G199),ISNUMBER(M199),ISNUMBER(N199)),ACOS(MIN(1,COS(RADIANS(90-F199))*COS(RADIANS(90-M199))+SIN(RADIANS(90-F199))*SIN(RADIANS(90-M199))*COS(RADIANS(G199-N199))))*6371,"N/A")</f>
        <v>N/A</v>
      </c>
      <c r="AM199" s="10" t="str">
        <f>IF(AND(ISNUMBER(F199),ISNUMBER(G199),ISNUMBER(M199),ISNUMBER(N199)),MOD(DEGREES(ATAN2(COS(RADIANS(M199))*SIN(RADIANS(F199))-SIN(RADIANS(M199))*COS(RADIANS(F199))*COS(RADIANS(G199-N199)),SIN(RADIANS(G199-N199))*COS(RADIANS(F199))))+360,360),"N/A")</f>
        <v>N/A</v>
      </c>
      <c r="AN199" s="2"/>
      <c r="AO199" s="2"/>
    </row>
    <row r="200" spans="1:41" x14ac:dyDescent="0.2">
      <c r="A200" s="4" t="s">
        <v>201</v>
      </c>
      <c r="B200" s="4" t="s">
        <v>187</v>
      </c>
      <c r="C200" s="5">
        <v>17</v>
      </c>
      <c r="D200" s="4" t="s">
        <v>32</v>
      </c>
      <c r="E200" s="4" t="s">
        <v>52</v>
      </c>
      <c r="F200" s="15">
        <v>45.9358</v>
      </c>
      <c r="G200" s="15">
        <v>11.2531</v>
      </c>
      <c r="H200" s="16">
        <v>1100</v>
      </c>
      <c r="I200" s="4" t="s">
        <v>183</v>
      </c>
      <c r="J200" s="4" t="s">
        <v>186</v>
      </c>
      <c r="K200" s="6">
        <v>63.633000000000003</v>
      </c>
      <c r="L200" s="6">
        <v>19.082999999999998</v>
      </c>
      <c r="M200" s="5" t="s">
        <v>340</v>
      </c>
      <c r="N200" s="5" t="s">
        <v>340</v>
      </c>
      <c r="O200" s="4" t="s">
        <v>185</v>
      </c>
      <c r="P200" s="5">
        <v>2</v>
      </c>
      <c r="Q200" s="5">
        <v>543</v>
      </c>
      <c r="R200" s="4" t="s">
        <v>184</v>
      </c>
      <c r="S200" s="4" t="s">
        <v>188</v>
      </c>
      <c r="T200" s="7">
        <v>11991</v>
      </c>
      <c r="U200" s="7">
        <v>12044</v>
      </c>
      <c r="V200" s="7">
        <v>12097</v>
      </c>
      <c r="W200" s="15" t="s">
        <v>913</v>
      </c>
      <c r="X200" s="15" t="s">
        <v>1380</v>
      </c>
      <c r="Y200" s="7" t="s">
        <v>340</v>
      </c>
      <c r="Z200" s="7" t="s">
        <v>340</v>
      </c>
      <c r="AA200" s="7" t="s">
        <v>340</v>
      </c>
      <c r="AB200" s="7" t="s">
        <v>340</v>
      </c>
      <c r="AC200" s="7" t="s">
        <v>340</v>
      </c>
      <c r="AD200" s="7" t="s">
        <v>340</v>
      </c>
      <c r="AE200" s="7">
        <v>12044</v>
      </c>
      <c r="AF200" s="7">
        <v>53</v>
      </c>
      <c r="AG200" s="7" t="s">
        <v>340</v>
      </c>
      <c r="AH200" s="5">
        <v>1</v>
      </c>
      <c r="AI200" s="5">
        <v>1</v>
      </c>
      <c r="AJ200" s="9">
        <f>IF(AND(ISNUMBER(F200),ISNUMBER(G200),ISNUMBER(K200),ISNUMBER(L200)),ACOS(MIN(1,COS(RADIANS(90-F200))*COS(RADIANS(90-K200))+SIN(RADIANS(90-F200))*SIN(RADIANS(90-K200))*COS(RADIANS(G200-L200))))*6371,"N/A")</f>
        <v>2027.3210922715111</v>
      </c>
      <c r="AK200" s="10">
        <f>IF(AND(ISNUMBER(F200),ISNUMBER(G200),ISNUMBER(K200),ISNUMBER(L200)),MOD(DEGREES(ATAN2(COS(RADIANS(K200))*SIN(RADIANS(F200))-SIN(RADIANS(K200))*COS(RADIANS(F200))*COS(RADIANS(G200-L200)),SIN(RADIANS(G200-L200))*COS(RADIANS(F200))))+360,360),"N/A")</f>
        <v>197.6274905418762</v>
      </c>
      <c r="AL200" s="10" t="str">
        <f>IF(AND(ISNUMBER(F200),ISNUMBER(G200),ISNUMBER(M200),ISNUMBER(N200)),ACOS(MIN(1,COS(RADIANS(90-F200))*COS(RADIANS(90-M200))+SIN(RADIANS(90-F200))*SIN(RADIANS(90-M200))*COS(RADIANS(G200-N200))))*6371,"N/A")</f>
        <v>N/A</v>
      </c>
      <c r="AM200" s="10" t="str">
        <f>IF(AND(ISNUMBER(F200),ISNUMBER(G200),ISNUMBER(M200),ISNUMBER(N200)),MOD(DEGREES(ATAN2(COS(RADIANS(M200))*SIN(RADIANS(F200))-SIN(RADIANS(M200))*COS(RADIANS(F200))*COS(RADIANS(G200-N200)),SIN(RADIANS(G200-N200))*COS(RADIANS(F200))))+360,360),"N/A")</f>
        <v>N/A</v>
      </c>
      <c r="AN200" s="2"/>
      <c r="AO200" s="2"/>
    </row>
    <row r="201" spans="1:41" x14ac:dyDescent="0.2">
      <c r="A201" s="4" t="s">
        <v>189</v>
      </c>
      <c r="B201" s="4" t="s">
        <v>49</v>
      </c>
      <c r="C201" s="5">
        <v>611</v>
      </c>
      <c r="D201" s="4" t="s">
        <v>32</v>
      </c>
      <c r="E201" s="4" t="s">
        <v>50</v>
      </c>
      <c r="F201" s="15">
        <v>45.066099999999999</v>
      </c>
      <c r="G201" s="15">
        <v>7.3875000000000002</v>
      </c>
      <c r="H201" s="16">
        <v>350</v>
      </c>
      <c r="I201" s="4" t="s">
        <v>183</v>
      </c>
      <c r="J201" s="4" t="s">
        <v>186</v>
      </c>
      <c r="K201" s="6">
        <v>63.633000000000003</v>
      </c>
      <c r="L201" s="6">
        <v>19.082999999999998</v>
      </c>
      <c r="M201" s="5" t="s">
        <v>340</v>
      </c>
      <c r="N201" s="5" t="s">
        <v>340</v>
      </c>
      <c r="O201" s="4" t="s">
        <v>185</v>
      </c>
      <c r="P201" s="5">
        <v>9</v>
      </c>
      <c r="Q201" s="5" t="s">
        <v>1054</v>
      </c>
      <c r="R201" s="4" t="s">
        <v>184</v>
      </c>
      <c r="S201" s="4" t="s">
        <v>1121</v>
      </c>
      <c r="T201" s="7">
        <v>11991</v>
      </c>
      <c r="U201" s="7">
        <v>12044</v>
      </c>
      <c r="V201" s="7">
        <v>12097</v>
      </c>
      <c r="W201" s="15" t="s">
        <v>1345</v>
      </c>
      <c r="X201" s="15" t="s">
        <v>1380</v>
      </c>
      <c r="Y201" s="7" t="s">
        <v>340</v>
      </c>
      <c r="Z201" s="7" t="s">
        <v>340</v>
      </c>
      <c r="AA201" s="7" t="s">
        <v>340</v>
      </c>
      <c r="AB201" s="7" t="s">
        <v>340</v>
      </c>
      <c r="AC201" s="7" t="s">
        <v>340</v>
      </c>
      <c r="AD201" s="7" t="s">
        <v>340</v>
      </c>
      <c r="AE201" s="7">
        <v>12044</v>
      </c>
      <c r="AF201" s="7">
        <v>53</v>
      </c>
      <c r="AG201" s="7" t="s">
        <v>340</v>
      </c>
      <c r="AH201" s="5">
        <v>1</v>
      </c>
      <c r="AI201" s="5">
        <v>1</v>
      </c>
      <c r="AJ201" s="9">
        <f>IF(AND(ISNUMBER(F201),ISNUMBER(G201),ISNUMBER(K201),ISNUMBER(L201)),ACOS(MIN(1,COS(RADIANS(90-F201))*COS(RADIANS(90-K201))+SIN(RADIANS(90-F201))*SIN(RADIANS(90-K201))*COS(RADIANS(G201-L201))))*6371,"N/A")</f>
        <v>2191.113864331388</v>
      </c>
      <c r="AK201" s="10">
        <f>IF(AND(ISNUMBER(F201),ISNUMBER(G201),ISNUMBER(K201),ISNUMBER(L201)),MOD(DEGREES(ATAN2(COS(RADIANS(K201))*SIN(RADIANS(F201))-SIN(RADIANS(K201))*COS(RADIANS(F201))*COS(RADIANS(G201-L201)),SIN(RADIANS(G201-L201))*COS(RADIANS(F201))))+360,360),"N/A")</f>
        <v>205.12643223536136</v>
      </c>
      <c r="AL201" s="10" t="str">
        <f>IF(AND(ISNUMBER(F201),ISNUMBER(G201),ISNUMBER(M201),ISNUMBER(N201)),ACOS(MIN(1,COS(RADIANS(90-F201))*COS(RADIANS(90-M201))+SIN(RADIANS(90-F201))*SIN(RADIANS(90-M201))*COS(RADIANS(G201-N201))))*6371,"N/A")</f>
        <v>N/A</v>
      </c>
      <c r="AM201" s="10" t="str">
        <f>IF(AND(ISNUMBER(F201),ISNUMBER(G201),ISNUMBER(M201),ISNUMBER(N201)),MOD(DEGREES(ATAN2(COS(RADIANS(M201))*SIN(RADIANS(F201))-SIN(RADIANS(M201))*COS(RADIANS(F201))*COS(RADIANS(G201-N201)),SIN(RADIANS(G201-N201))*COS(RADIANS(F201))))+360,360),"N/A")</f>
        <v>N/A</v>
      </c>
      <c r="AN201" s="2"/>
      <c r="AO201" s="2"/>
    </row>
    <row r="202" spans="1:41" x14ac:dyDescent="0.2">
      <c r="A202" s="4" t="s">
        <v>630</v>
      </c>
      <c r="B202" s="4" t="s">
        <v>632</v>
      </c>
      <c r="C202" s="5" t="s">
        <v>340</v>
      </c>
      <c r="D202" s="4" t="s">
        <v>621</v>
      </c>
      <c r="E202" s="8" t="s">
        <v>619</v>
      </c>
      <c r="F202" s="15">
        <v>41.049199999999999</v>
      </c>
      <c r="G202" s="15">
        <v>20.715</v>
      </c>
      <c r="H202" s="16" t="s">
        <v>340</v>
      </c>
      <c r="I202" s="4" t="s">
        <v>631</v>
      </c>
      <c r="J202" s="4" t="s">
        <v>16</v>
      </c>
      <c r="K202" s="6">
        <v>40.820999999999998</v>
      </c>
      <c r="L202" s="6">
        <v>14.426</v>
      </c>
      <c r="M202" s="5" t="s">
        <v>340</v>
      </c>
      <c r="N202" s="5" t="s">
        <v>340</v>
      </c>
      <c r="O202" s="4" t="s">
        <v>229</v>
      </c>
      <c r="P202" s="5">
        <v>15</v>
      </c>
      <c r="Q202" s="5" t="s">
        <v>340</v>
      </c>
      <c r="R202" s="4" t="s">
        <v>184</v>
      </c>
      <c r="S202" s="4" t="s">
        <v>1121</v>
      </c>
      <c r="T202" s="12">
        <v>8723</v>
      </c>
      <c r="U202" s="7">
        <v>8866</v>
      </c>
      <c r="V202" s="12">
        <v>9009</v>
      </c>
      <c r="W202" s="15" t="s">
        <v>1091</v>
      </c>
      <c r="X202" s="21" t="s">
        <v>1360</v>
      </c>
      <c r="Y202" s="7">
        <v>8010</v>
      </c>
      <c r="Z202" s="7">
        <v>35</v>
      </c>
      <c r="AA202" s="7" t="s">
        <v>340</v>
      </c>
      <c r="AB202" s="7" t="s">
        <v>340</v>
      </c>
      <c r="AC202" s="7">
        <v>9680</v>
      </c>
      <c r="AD202" s="7">
        <v>480</v>
      </c>
      <c r="AE202" s="7" t="s">
        <v>340</v>
      </c>
      <c r="AF202" s="7" t="s">
        <v>340</v>
      </c>
      <c r="AG202" s="7" t="s">
        <v>340</v>
      </c>
      <c r="AH202" s="5">
        <v>1</v>
      </c>
      <c r="AI202" s="5">
        <v>1</v>
      </c>
      <c r="AJ202" s="9">
        <f>IF(AND(ISNUMBER(F202),ISNUMBER(G202),ISNUMBER(K202),ISNUMBER(L202)),ACOS(MIN(1,COS(RADIANS(90-F202))*COS(RADIANS(90-K202))+SIN(RADIANS(90-F202))*SIN(RADIANS(90-K202))*COS(RADIANS(G202-L202))))*6371,"N/A")</f>
        <v>528.78555512279502</v>
      </c>
      <c r="AK202" s="10">
        <f>IF(AND(ISNUMBER(F202),ISNUMBER(G202),ISNUMBER(K202),ISNUMBER(L202)),MOD(DEGREES(ATAN2(COS(RADIANS(K202))*SIN(RADIANS(F202))-SIN(RADIANS(K202))*COS(RADIANS(F202))*COS(RADIANS(G202-L202)),SIN(RADIANS(G202-L202))*COS(RADIANS(F202))))+360,360),"N/A")</f>
        <v>85.191391304928061</v>
      </c>
      <c r="AL202" s="10" t="str">
        <f>IF(AND(ISNUMBER(F202),ISNUMBER(G202),ISNUMBER(M202),ISNUMBER(N202)),ACOS(MIN(1,COS(RADIANS(90-F202))*COS(RADIANS(90-M202))+SIN(RADIANS(90-F202))*SIN(RADIANS(90-M202))*COS(RADIANS(G202-N202))))*6371,"N/A")</f>
        <v>N/A</v>
      </c>
      <c r="AM202" s="10" t="str">
        <f>IF(AND(ISNUMBER(F202),ISNUMBER(G202),ISNUMBER(M202),ISNUMBER(N202)),MOD(DEGREES(ATAN2(COS(RADIANS(M202))*SIN(RADIANS(F202))-SIN(RADIANS(M202))*COS(RADIANS(F202))*COS(RADIANS(G202-N202)),SIN(RADIANS(G202-N202))*COS(RADIANS(F202))))+360,360),"N/A")</f>
        <v>N/A</v>
      </c>
      <c r="AN202" s="2"/>
      <c r="AO202" s="2"/>
    </row>
    <row r="203" spans="1:41" x14ac:dyDescent="0.2">
      <c r="A203" s="4" t="s">
        <v>637</v>
      </c>
      <c r="B203" s="4" t="s">
        <v>692</v>
      </c>
      <c r="C203" s="5" t="s">
        <v>340</v>
      </c>
      <c r="D203" s="4" t="s">
        <v>621</v>
      </c>
      <c r="E203" s="8" t="s">
        <v>619</v>
      </c>
      <c r="F203" s="15">
        <v>41.049199999999999</v>
      </c>
      <c r="G203" s="15">
        <v>20.715</v>
      </c>
      <c r="H203" s="16">
        <v>-240</v>
      </c>
      <c r="I203" s="4" t="s">
        <v>638</v>
      </c>
      <c r="J203" s="4" t="s">
        <v>15</v>
      </c>
      <c r="K203" s="6">
        <v>40.826999999999998</v>
      </c>
      <c r="L203" s="6">
        <v>14.138999999999999</v>
      </c>
      <c r="M203" s="5" t="s">
        <v>340</v>
      </c>
      <c r="N203" s="5" t="s">
        <v>340</v>
      </c>
      <c r="O203" s="4" t="s">
        <v>640</v>
      </c>
      <c r="P203" s="5">
        <v>17</v>
      </c>
      <c r="Q203" s="5" t="s">
        <v>340</v>
      </c>
      <c r="R203" s="4" t="s">
        <v>184</v>
      </c>
      <c r="S203" s="4" t="s">
        <v>1121</v>
      </c>
      <c r="T203" s="7">
        <v>14550</v>
      </c>
      <c r="U203" s="7">
        <v>15540</v>
      </c>
      <c r="V203" s="7">
        <v>16530</v>
      </c>
      <c r="W203" s="15" t="s">
        <v>900</v>
      </c>
      <c r="X203" s="15" t="s">
        <v>638</v>
      </c>
      <c r="Y203" s="7" t="s">
        <v>340</v>
      </c>
      <c r="Z203" s="7" t="s">
        <v>340</v>
      </c>
      <c r="AA203" s="7" t="s">
        <v>340</v>
      </c>
      <c r="AB203" s="7" t="s">
        <v>340</v>
      </c>
      <c r="AC203" s="7" t="s">
        <v>340</v>
      </c>
      <c r="AD203" s="7" t="s">
        <v>340</v>
      </c>
      <c r="AE203" s="7">
        <v>15540</v>
      </c>
      <c r="AF203" s="7">
        <v>990</v>
      </c>
      <c r="AG203" s="7" t="s">
        <v>340</v>
      </c>
      <c r="AH203" s="5">
        <v>1</v>
      </c>
      <c r="AI203" s="5">
        <v>1</v>
      </c>
      <c r="AJ203" s="9">
        <f>IF(AND(ISNUMBER(F203),ISNUMBER(G203),ISNUMBER(K203),ISNUMBER(L203)),ACOS(MIN(1,COS(RADIANS(90-F203))*COS(RADIANS(90-K203))+SIN(RADIANS(90-F203))*SIN(RADIANS(90-K203))*COS(RADIANS(G203-L203))))*6371,"N/A")</f>
        <v>552.79610571782666</v>
      </c>
      <c r="AK203" s="10">
        <f>IF(AND(ISNUMBER(F203),ISNUMBER(G203),ISNUMBER(K203),ISNUMBER(L203)),MOD(DEGREES(ATAN2(COS(RADIANS(K203))*SIN(RADIANS(F203))-SIN(RADIANS(K203))*COS(RADIANS(F203))*COS(RADIANS(G203-L203)),SIN(RADIANS(G203-L203))*COS(RADIANS(F203))))+360,360),"N/A")</f>
        <v>85.285905779110351</v>
      </c>
      <c r="AL203" s="10" t="str">
        <f>IF(AND(ISNUMBER(F203),ISNUMBER(G203),ISNUMBER(M203),ISNUMBER(N203)),ACOS(MIN(1,COS(RADIANS(90-F203))*COS(RADIANS(90-M203))+SIN(RADIANS(90-F203))*SIN(RADIANS(90-M203))*COS(RADIANS(G203-N203))))*6371,"N/A")</f>
        <v>N/A</v>
      </c>
      <c r="AM203" s="10" t="str">
        <f>IF(AND(ISNUMBER(F203),ISNUMBER(G203),ISNUMBER(M203),ISNUMBER(N203)),MOD(DEGREES(ATAN2(COS(RADIANS(M203))*SIN(RADIANS(F203))-SIN(RADIANS(M203))*COS(RADIANS(F203))*COS(RADIANS(G203-N203)),SIN(RADIANS(G203-N203))*COS(RADIANS(F203))))+360,360),"N/A")</f>
        <v>N/A</v>
      </c>
      <c r="AN203" s="2"/>
      <c r="AO203" s="2"/>
    </row>
    <row r="204" spans="1:41" x14ac:dyDescent="0.2">
      <c r="A204" s="4" t="s">
        <v>635</v>
      </c>
      <c r="B204" s="4" t="s">
        <v>692</v>
      </c>
      <c r="C204" s="5" t="s">
        <v>340</v>
      </c>
      <c r="D204" s="4" t="s">
        <v>621</v>
      </c>
      <c r="E204" s="4" t="s">
        <v>619</v>
      </c>
      <c r="F204" s="15">
        <v>41.049199999999999</v>
      </c>
      <c r="G204" s="15">
        <v>20.715</v>
      </c>
      <c r="H204" s="16">
        <v>-240</v>
      </c>
      <c r="I204" s="4" t="s">
        <v>638</v>
      </c>
      <c r="J204" s="4" t="s">
        <v>16</v>
      </c>
      <c r="K204" s="6">
        <v>40.820999999999998</v>
      </c>
      <c r="L204" s="6">
        <v>14.426</v>
      </c>
      <c r="M204" s="5" t="s">
        <v>340</v>
      </c>
      <c r="N204" s="5" t="s">
        <v>340</v>
      </c>
      <c r="O204" s="4" t="s">
        <v>929</v>
      </c>
      <c r="P204" s="5">
        <v>68</v>
      </c>
      <c r="Q204" s="5" t="s">
        <v>340</v>
      </c>
      <c r="R204" s="4" t="s">
        <v>184</v>
      </c>
      <c r="S204" s="4" t="s">
        <v>1121</v>
      </c>
      <c r="T204" s="7" t="s">
        <v>920</v>
      </c>
      <c r="U204" s="7">
        <v>3839</v>
      </c>
      <c r="V204" s="7" t="s">
        <v>921</v>
      </c>
      <c r="W204" s="15" t="s">
        <v>922</v>
      </c>
      <c r="X204" s="15" t="s">
        <v>919</v>
      </c>
      <c r="Y204" s="7" t="s">
        <v>340</v>
      </c>
      <c r="Z204" s="7" t="s">
        <v>340</v>
      </c>
      <c r="AA204" s="7" t="s">
        <v>340</v>
      </c>
      <c r="AB204" s="7" t="s">
        <v>340</v>
      </c>
      <c r="AC204" s="7">
        <v>4310</v>
      </c>
      <c r="AD204" s="7">
        <v>220</v>
      </c>
      <c r="AE204" s="7">
        <v>3839</v>
      </c>
      <c r="AF204" s="7">
        <v>21</v>
      </c>
      <c r="AG204" s="7" t="s">
        <v>340</v>
      </c>
      <c r="AH204" s="5">
        <v>1</v>
      </c>
      <c r="AI204" s="5">
        <v>1</v>
      </c>
      <c r="AJ204" s="9">
        <f>IF(AND(ISNUMBER(F204),ISNUMBER(G204),ISNUMBER(K204),ISNUMBER(L204)),ACOS(MIN(1,COS(RADIANS(90-F204))*COS(RADIANS(90-K204))+SIN(RADIANS(90-F204))*SIN(RADIANS(90-K204))*COS(RADIANS(G204-L204))))*6371,"N/A")</f>
        <v>528.78555512279502</v>
      </c>
      <c r="AK204" s="10">
        <f>IF(AND(ISNUMBER(F204),ISNUMBER(G204),ISNUMBER(K204),ISNUMBER(L204)),MOD(DEGREES(ATAN2(COS(RADIANS(K204))*SIN(RADIANS(F204))-SIN(RADIANS(K204))*COS(RADIANS(F204))*COS(RADIANS(G204-L204)),SIN(RADIANS(G204-L204))*COS(RADIANS(F204))))+360,360),"N/A")</f>
        <v>85.191391304928061</v>
      </c>
      <c r="AL204" s="10" t="str">
        <f>IF(AND(ISNUMBER(F204),ISNUMBER(G204),ISNUMBER(M204),ISNUMBER(N204)),ACOS(MIN(1,COS(RADIANS(90-F204))*COS(RADIANS(90-M204))+SIN(RADIANS(90-F204))*SIN(RADIANS(90-M204))*COS(RADIANS(G204-N204))))*6371,"N/A")</f>
        <v>N/A</v>
      </c>
      <c r="AM204" s="10" t="str">
        <f>IF(AND(ISNUMBER(F204),ISNUMBER(G204),ISNUMBER(M204),ISNUMBER(N204)),MOD(DEGREES(ATAN2(COS(RADIANS(M204))*SIN(RADIANS(F204))-SIN(RADIANS(M204))*COS(RADIANS(F204))*COS(RADIANS(G204-N204)),SIN(RADIANS(G204-N204))*COS(RADIANS(F204))))+360,360),"N/A")</f>
        <v>N/A</v>
      </c>
      <c r="AN204" s="2"/>
      <c r="AO204" s="2"/>
    </row>
    <row r="205" spans="1:41" x14ac:dyDescent="0.2">
      <c r="A205" s="4" t="s">
        <v>634</v>
      </c>
      <c r="B205" s="4" t="s">
        <v>692</v>
      </c>
      <c r="C205" s="5" t="s">
        <v>340</v>
      </c>
      <c r="D205" s="4" t="s">
        <v>621</v>
      </c>
      <c r="E205" s="8" t="s">
        <v>619</v>
      </c>
      <c r="F205" s="15">
        <v>41.049199999999999</v>
      </c>
      <c r="G205" s="15">
        <v>20.715</v>
      </c>
      <c r="H205" s="16">
        <v>-240</v>
      </c>
      <c r="I205" s="4" t="s">
        <v>844</v>
      </c>
      <c r="J205" s="4" t="s">
        <v>42</v>
      </c>
      <c r="K205" s="6">
        <v>37.747999999999998</v>
      </c>
      <c r="L205" s="6">
        <v>14.999000000000001</v>
      </c>
      <c r="M205" s="5" t="s">
        <v>340</v>
      </c>
      <c r="N205" s="5" t="s">
        <v>340</v>
      </c>
      <c r="O205" s="4" t="s">
        <v>424</v>
      </c>
      <c r="P205" s="5">
        <v>97</v>
      </c>
      <c r="Q205" s="5" t="s">
        <v>340</v>
      </c>
      <c r="R205" s="4" t="s">
        <v>184</v>
      </c>
      <c r="S205" s="4" t="s">
        <v>1121</v>
      </c>
      <c r="T205" s="7">
        <v>3213</v>
      </c>
      <c r="U205" s="7">
        <v>3368</v>
      </c>
      <c r="V205" s="7">
        <v>3481</v>
      </c>
      <c r="W205" s="15" t="s">
        <v>1110</v>
      </c>
      <c r="X205" s="15" t="s">
        <v>1367</v>
      </c>
      <c r="Y205" s="7">
        <v>3150</v>
      </c>
      <c r="Z205" s="7">
        <v>60</v>
      </c>
      <c r="AA205" s="7" t="s">
        <v>340</v>
      </c>
      <c r="AB205" s="7" t="s">
        <v>340</v>
      </c>
      <c r="AC205" s="7" t="s">
        <v>340</v>
      </c>
      <c r="AD205" s="7" t="s">
        <v>340</v>
      </c>
      <c r="AE205" s="7" t="s">
        <v>340</v>
      </c>
      <c r="AF205" s="7" t="s">
        <v>340</v>
      </c>
      <c r="AG205" s="7" t="s">
        <v>340</v>
      </c>
      <c r="AH205" s="5">
        <v>1</v>
      </c>
      <c r="AI205" s="5">
        <v>1</v>
      </c>
      <c r="AJ205" s="9">
        <f>IF(AND(ISNUMBER(F205),ISNUMBER(G205),ISNUMBER(K205),ISNUMBER(L205)),ACOS(MIN(1,COS(RADIANS(90-F205))*COS(RADIANS(90-K205))+SIN(RADIANS(90-F205))*SIN(RADIANS(90-K205))*COS(RADIANS(G205-L205))))*6371,"N/A")</f>
        <v>612.93788282614662</v>
      </c>
      <c r="AK205" s="10">
        <f>IF(AND(ISNUMBER(F205),ISNUMBER(G205),ISNUMBER(K205),ISNUMBER(L205)),MOD(DEGREES(ATAN2(COS(RADIANS(K205))*SIN(RADIANS(F205))-SIN(RADIANS(K205))*COS(RADIANS(F205))*COS(RADIANS(G205-L205)),SIN(RADIANS(G205-L205))*COS(RADIANS(F205))))+360,360),"N/A")</f>
        <v>51.437259084017228</v>
      </c>
      <c r="AL205" s="10" t="str">
        <f>IF(AND(ISNUMBER(F205),ISNUMBER(G205),ISNUMBER(M205),ISNUMBER(N205)),ACOS(MIN(1,COS(RADIANS(90-F205))*COS(RADIANS(90-M205))+SIN(RADIANS(90-F205))*SIN(RADIANS(90-M205))*COS(RADIANS(G205-N205))))*6371,"N/A")</f>
        <v>N/A</v>
      </c>
      <c r="AM205" s="10" t="str">
        <f>IF(AND(ISNUMBER(F205),ISNUMBER(G205),ISNUMBER(M205),ISNUMBER(N205)),MOD(DEGREES(ATAN2(COS(RADIANS(M205))*SIN(RADIANS(F205))-SIN(RADIANS(M205))*COS(RADIANS(F205))*COS(RADIANS(G205-N205)),SIN(RADIANS(G205-N205))*COS(RADIANS(F205))))+360,360),"N/A")</f>
        <v>N/A</v>
      </c>
      <c r="AN205" s="2"/>
      <c r="AO205" s="2"/>
    </row>
    <row r="206" spans="1:41" x14ac:dyDescent="0.2">
      <c r="A206" s="4" t="s">
        <v>633</v>
      </c>
      <c r="B206" s="4" t="s">
        <v>692</v>
      </c>
      <c r="C206" s="5" t="s">
        <v>340</v>
      </c>
      <c r="D206" s="4" t="s">
        <v>621</v>
      </c>
      <c r="E206" s="8" t="s">
        <v>619</v>
      </c>
      <c r="F206" s="15">
        <v>41.049199999999999</v>
      </c>
      <c r="G206" s="15">
        <v>20.715</v>
      </c>
      <c r="H206" s="16">
        <v>-240</v>
      </c>
      <c r="I206" s="4" t="s">
        <v>844</v>
      </c>
      <c r="J206" s="4" t="s">
        <v>16</v>
      </c>
      <c r="K206" s="6">
        <v>40.820999999999998</v>
      </c>
      <c r="L206" s="6">
        <v>14.426</v>
      </c>
      <c r="M206" s="5" t="s">
        <v>340</v>
      </c>
      <c r="N206" s="5" t="s">
        <v>340</v>
      </c>
      <c r="O206" s="4" t="s">
        <v>883</v>
      </c>
      <c r="P206" s="5">
        <v>29</v>
      </c>
      <c r="Q206" s="5" t="s">
        <v>340</v>
      </c>
      <c r="R206" s="4" t="s">
        <v>184</v>
      </c>
      <c r="S206" s="4" t="s">
        <v>1121</v>
      </c>
      <c r="T206" s="7">
        <v>1438</v>
      </c>
      <c r="U206" s="7">
        <v>1458</v>
      </c>
      <c r="V206" s="7">
        <v>1478</v>
      </c>
      <c r="W206" s="15" t="s">
        <v>898</v>
      </c>
      <c r="X206" s="15" t="s">
        <v>901</v>
      </c>
      <c r="Y206" s="7" t="s">
        <v>340</v>
      </c>
      <c r="Z206" s="7" t="s">
        <v>340</v>
      </c>
      <c r="AA206" s="7" t="s">
        <v>340</v>
      </c>
      <c r="AB206" s="7" t="s">
        <v>340</v>
      </c>
      <c r="AC206" s="7" t="s">
        <v>340</v>
      </c>
      <c r="AD206" s="7" t="s">
        <v>340</v>
      </c>
      <c r="AE206" s="7">
        <v>1470</v>
      </c>
      <c r="AF206" s="7">
        <v>40</v>
      </c>
      <c r="AG206" s="7" t="s">
        <v>902</v>
      </c>
      <c r="AH206" s="5">
        <v>1</v>
      </c>
      <c r="AI206" s="5">
        <v>1</v>
      </c>
      <c r="AJ206" s="9">
        <f>IF(AND(ISNUMBER(F206),ISNUMBER(G206),ISNUMBER(K206),ISNUMBER(L206)),ACOS(MIN(1,COS(RADIANS(90-F206))*COS(RADIANS(90-K206))+SIN(RADIANS(90-F206))*SIN(RADIANS(90-K206))*COS(RADIANS(G206-L206))))*6371,"N/A")</f>
        <v>528.78555512279502</v>
      </c>
      <c r="AK206" s="10">
        <f>IF(AND(ISNUMBER(F206),ISNUMBER(G206),ISNUMBER(K206),ISNUMBER(L206)),MOD(DEGREES(ATAN2(COS(RADIANS(K206))*SIN(RADIANS(F206))-SIN(RADIANS(K206))*COS(RADIANS(F206))*COS(RADIANS(G206-L206)),SIN(RADIANS(G206-L206))*COS(RADIANS(F206))))+360,360),"N/A")</f>
        <v>85.191391304928061</v>
      </c>
      <c r="AL206" s="10" t="str">
        <f>IF(AND(ISNUMBER(F206),ISNUMBER(G206),ISNUMBER(M206),ISNUMBER(N206)),ACOS(MIN(1,COS(RADIANS(90-F206))*COS(RADIANS(90-M206))+SIN(RADIANS(90-F206))*SIN(RADIANS(90-M206))*COS(RADIANS(G206-N206))))*6371,"N/A")</f>
        <v>N/A</v>
      </c>
      <c r="AM206" s="10" t="str">
        <f>IF(AND(ISNUMBER(F206),ISNUMBER(G206),ISNUMBER(M206),ISNUMBER(N206)),MOD(DEGREES(ATAN2(COS(RADIANS(M206))*SIN(RADIANS(F206))-SIN(RADIANS(M206))*COS(RADIANS(F206))*COS(RADIANS(G206-N206)),SIN(RADIANS(G206-N206))*COS(RADIANS(F206))))+360,360),"N/A")</f>
        <v>N/A</v>
      </c>
      <c r="AN206" s="2"/>
      <c r="AO206" s="2"/>
    </row>
    <row r="207" spans="1:41" x14ac:dyDescent="0.2">
      <c r="A207" s="4" t="s">
        <v>636</v>
      </c>
      <c r="B207" s="4" t="s">
        <v>692</v>
      </c>
      <c r="C207" s="5" t="s">
        <v>340</v>
      </c>
      <c r="D207" s="4" t="s">
        <v>621</v>
      </c>
      <c r="E207" s="8" t="s">
        <v>619</v>
      </c>
      <c r="F207" s="15">
        <v>41.049199999999999</v>
      </c>
      <c r="G207" s="15">
        <v>20.715</v>
      </c>
      <c r="H207" s="16">
        <v>-240</v>
      </c>
      <c r="I207" s="4" t="s">
        <v>844</v>
      </c>
      <c r="J207" s="4" t="s">
        <v>15</v>
      </c>
      <c r="K207" s="6">
        <v>40.826999999999998</v>
      </c>
      <c r="L207" s="6">
        <v>14.138999999999999</v>
      </c>
      <c r="M207" s="5" t="s">
        <v>340</v>
      </c>
      <c r="N207" s="5" t="s">
        <v>340</v>
      </c>
      <c r="O207" s="4" t="s">
        <v>639</v>
      </c>
      <c r="P207" s="5">
        <v>102</v>
      </c>
      <c r="Q207" s="5" t="s">
        <v>340</v>
      </c>
      <c r="R207" s="4" t="s">
        <v>41</v>
      </c>
      <c r="S207" s="4" t="s">
        <v>1121</v>
      </c>
      <c r="T207" s="7">
        <v>13720</v>
      </c>
      <c r="U207" s="7">
        <v>14570</v>
      </c>
      <c r="V207" s="7">
        <v>15420</v>
      </c>
      <c r="W207" s="15" t="s">
        <v>900</v>
      </c>
      <c r="X207" s="15" t="s">
        <v>638</v>
      </c>
      <c r="Y207" s="7" t="s">
        <v>340</v>
      </c>
      <c r="Z207" s="7" t="s">
        <v>340</v>
      </c>
      <c r="AA207" s="7" t="s">
        <v>340</v>
      </c>
      <c r="AB207" s="7" t="s">
        <v>340</v>
      </c>
      <c r="AC207" s="7" t="s">
        <v>340</v>
      </c>
      <c r="AD207" s="7" t="s">
        <v>340</v>
      </c>
      <c r="AE207" s="7">
        <v>14570</v>
      </c>
      <c r="AF207" s="7">
        <v>850</v>
      </c>
      <c r="AG207" s="7" t="s">
        <v>340</v>
      </c>
      <c r="AH207" s="5">
        <v>1</v>
      </c>
      <c r="AI207" s="5">
        <v>1</v>
      </c>
      <c r="AJ207" s="9">
        <f>IF(AND(ISNUMBER(F207),ISNUMBER(G207),ISNUMBER(K207),ISNUMBER(L207)),ACOS(MIN(1,COS(RADIANS(90-F207))*COS(RADIANS(90-K207))+SIN(RADIANS(90-F207))*SIN(RADIANS(90-K207))*COS(RADIANS(G207-L207))))*6371,"N/A")</f>
        <v>552.79610571782666</v>
      </c>
      <c r="AK207" s="10">
        <f>IF(AND(ISNUMBER(F207),ISNUMBER(G207),ISNUMBER(K207),ISNUMBER(L207)),MOD(DEGREES(ATAN2(COS(RADIANS(K207))*SIN(RADIANS(F207))-SIN(RADIANS(K207))*COS(RADIANS(F207))*COS(RADIANS(G207-L207)),SIN(RADIANS(G207-L207))*COS(RADIANS(F207))))+360,360),"N/A")</f>
        <v>85.285905779110351</v>
      </c>
      <c r="AL207" s="10" t="str">
        <f>IF(AND(ISNUMBER(F207),ISNUMBER(G207),ISNUMBER(M207),ISNUMBER(N207)),ACOS(MIN(1,COS(RADIANS(90-F207))*COS(RADIANS(90-M207))+SIN(RADIANS(90-F207))*SIN(RADIANS(90-M207))*COS(RADIANS(G207-N207))))*6371,"N/A")</f>
        <v>N/A</v>
      </c>
      <c r="AM207" s="10" t="str">
        <f>IF(AND(ISNUMBER(F207),ISNUMBER(G207),ISNUMBER(M207),ISNUMBER(N207)),MOD(DEGREES(ATAN2(COS(RADIANS(M207))*SIN(RADIANS(F207))-SIN(RADIANS(M207))*COS(RADIANS(F207))*COS(RADIANS(G207-N207)),SIN(RADIANS(G207-N207))*COS(RADIANS(F207))))+360,360),"N/A")</f>
        <v>N/A</v>
      </c>
      <c r="AN207" s="2"/>
      <c r="AO207" s="2"/>
    </row>
    <row r="208" spans="1:41" x14ac:dyDescent="0.2">
      <c r="A208" s="4" t="s">
        <v>764</v>
      </c>
      <c r="B208" s="4" t="s">
        <v>772</v>
      </c>
      <c r="C208" s="5" t="s">
        <v>340</v>
      </c>
      <c r="D208" s="4" t="s">
        <v>70</v>
      </c>
      <c r="E208" s="4" t="s">
        <v>89</v>
      </c>
      <c r="F208" s="15">
        <v>40.595999999999997</v>
      </c>
      <c r="G208" s="15">
        <v>14.706300000000001</v>
      </c>
      <c r="H208" s="16">
        <v>-105</v>
      </c>
      <c r="I208" s="4" t="s">
        <v>752</v>
      </c>
      <c r="J208" s="4" t="s">
        <v>16</v>
      </c>
      <c r="K208" s="6">
        <v>40.820999999999998</v>
      </c>
      <c r="L208" s="6">
        <v>14.426</v>
      </c>
      <c r="M208" s="5" t="s">
        <v>340</v>
      </c>
      <c r="N208" s="5" t="s">
        <v>340</v>
      </c>
      <c r="O208" s="4" t="s">
        <v>14</v>
      </c>
      <c r="P208" s="5">
        <v>14</v>
      </c>
      <c r="Q208" s="5" t="s">
        <v>340</v>
      </c>
      <c r="R208" s="4" t="s">
        <v>184</v>
      </c>
      <c r="S208" s="4" t="s">
        <v>1121</v>
      </c>
      <c r="T208" s="7">
        <f>U208- 26</f>
        <v>1382</v>
      </c>
      <c r="U208" s="7">
        <v>1408</v>
      </c>
      <c r="V208" s="7">
        <f>U208+AF208</f>
        <v>1434</v>
      </c>
      <c r="W208" s="15" t="s">
        <v>900</v>
      </c>
      <c r="X208" s="15" t="s">
        <v>752</v>
      </c>
      <c r="Y208" s="7" t="s">
        <v>340</v>
      </c>
      <c r="Z208" s="7" t="s">
        <v>340</v>
      </c>
      <c r="AA208" s="7" t="s">
        <v>340</v>
      </c>
      <c r="AB208" s="7" t="s">
        <v>340</v>
      </c>
      <c r="AC208" s="7" t="s">
        <v>340</v>
      </c>
      <c r="AD208" s="7" t="s">
        <v>340</v>
      </c>
      <c r="AE208" s="7">
        <v>1408</v>
      </c>
      <c r="AF208" s="7">
        <v>26</v>
      </c>
      <c r="AG208" s="7" t="s">
        <v>340</v>
      </c>
      <c r="AH208" s="5">
        <v>1</v>
      </c>
      <c r="AI208" s="5">
        <v>1</v>
      </c>
      <c r="AJ208" s="9">
        <f>IF(AND(ISNUMBER(F208),ISNUMBER(G208),ISNUMBER(K208),ISNUMBER(L208)),ACOS(MIN(1,COS(RADIANS(90-F208))*COS(RADIANS(90-K208))+SIN(RADIANS(90-F208))*SIN(RADIANS(90-K208))*COS(RADIANS(G208-L208))))*6371,"N/A")</f>
        <v>34.411488033508121</v>
      </c>
      <c r="AK208" s="10">
        <f>IF(AND(ISNUMBER(F208),ISNUMBER(G208),ISNUMBER(K208),ISNUMBER(L208)),MOD(DEGREES(ATAN2(COS(RADIANS(K208))*SIN(RADIANS(F208))-SIN(RADIANS(K208))*COS(RADIANS(F208))*COS(RADIANS(G208-L208)),SIN(RADIANS(G208-L208))*COS(RADIANS(F208))))+360,360),"N/A")</f>
        <v>136.54806385204222</v>
      </c>
      <c r="AL208" s="10" t="str">
        <f>IF(AND(ISNUMBER(F208),ISNUMBER(G208),ISNUMBER(M208),ISNUMBER(N208)),ACOS(MIN(1,COS(RADIANS(90-F208))*COS(RADIANS(90-M208))+SIN(RADIANS(90-F208))*SIN(RADIANS(90-M208))*COS(RADIANS(G208-N208))))*6371,"N/A")</f>
        <v>N/A</v>
      </c>
      <c r="AM208" s="10" t="str">
        <f>IF(AND(ISNUMBER(F208),ISNUMBER(G208),ISNUMBER(M208),ISNUMBER(N208)),MOD(DEGREES(ATAN2(COS(RADIANS(M208))*SIN(RADIANS(F208))-SIN(RADIANS(M208))*COS(RADIANS(F208))*COS(RADIANS(G208-N208)),SIN(RADIANS(G208-N208))*COS(RADIANS(F208))))+360,360),"N/A")</f>
        <v>N/A</v>
      </c>
      <c r="AN208" s="2"/>
      <c r="AO208" s="2"/>
    </row>
    <row r="209" spans="1:41" x14ac:dyDescent="0.2">
      <c r="A209" s="4" t="s">
        <v>768</v>
      </c>
      <c r="B209" s="4" t="s">
        <v>771</v>
      </c>
      <c r="C209" s="5" t="s">
        <v>340</v>
      </c>
      <c r="D209" s="4" t="s">
        <v>70</v>
      </c>
      <c r="E209" s="4" t="s">
        <v>89</v>
      </c>
      <c r="F209" s="15">
        <v>40.599699999999999</v>
      </c>
      <c r="G209" s="15">
        <v>14.707800000000001</v>
      </c>
      <c r="H209" s="16">
        <v>-110</v>
      </c>
      <c r="I209" s="4" t="s">
        <v>752</v>
      </c>
      <c r="J209" s="4" t="s">
        <v>15</v>
      </c>
      <c r="K209" s="6">
        <v>40.826999999999998</v>
      </c>
      <c r="L209" s="6">
        <v>14.138999999999999</v>
      </c>
      <c r="M209" s="5" t="s">
        <v>340</v>
      </c>
      <c r="N209" s="5" t="s">
        <v>340</v>
      </c>
      <c r="O209" s="4" t="s">
        <v>199</v>
      </c>
      <c r="P209" s="5">
        <v>21</v>
      </c>
      <c r="Q209" s="5" t="s">
        <v>340</v>
      </c>
      <c r="R209" s="4" t="s">
        <v>41</v>
      </c>
      <c r="S209" s="4" t="s">
        <v>1121</v>
      </c>
      <c r="T209" s="7">
        <v>4483</v>
      </c>
      <c r="U209" s="7">
        <v>4540</v>
      </c>
      <c r="V209" s="7">
        <v>4627</v>
      </c>
      <c r="W209" s="15" t="s">
        <v>928</v>
      </c>
      <c r="X209" s="21" t="s">
        <v>1357</v>
      </c>
      <c r="Y209" s="7" t="s">
        <v>340</v>
      </c>
      <c r="Z209" s="7" t="s">
        <v>340</v>
      </c>
      <c r="AA209" s="7" t="s">
        <v>340</v>
      </c>
      <c r="AB209" s="7" t="s">
        <v>340</v>
      </c>
      <c r="AC209" s="7">
        <v>5390</v>
      </c>
      <c r="AD209" s="7">
        <v>270</v>
      </c>
      <c r="AE209" s="7">
        <v>4546</v>
      </c>
      <c r="AF209" s="7">
        <v>36</v>
      </c>
      <c r="AG209" s="7" t="s">
        <v>340</v>
      </c>
      <c r="AH209" s="5">
        <v>1</v>
      </c>
      <c r="AI209" s="5">
        <v>1</v>
      </c>
      <c r="AJ209" s="9">
        <f>IF(AND(ISNUMBER(F209),ISNUMBER(G209),ISNUMBER(K209),ISNUMBER(L209)),ACOS(MIN(1,COS(RADIANS(90-F209))*COS(RADIANS(90-K209))+SIN(RADIANS(90-F209))*SIN(RADIANS(90-K209))*COS(RADIANS(G209-L209))))*6371,"N/A")</f>
        <v>54.194937821103245</v>
      </c>
      <c r="AK209" s="10">
        <f>IF(AND(ISNUMBER(F209),ISNUMBER(G209),ISNUMBER(K209),ISNUMBER(L209)),MOD(DEGREES(ATAN2(COS(RADIANS(K209))*SIN(RADIANS(F209))-SIN(RADIANS(K209))*COS(RADIANS(F209))*COS(RADIANS(G209-L209)),SIN(RADIANS(G209-L209))*COS(RADIANS(F209))))+360,360),"N/A")</f>
        <v>117.61277086378959</v>
      </c>
      <c r="AL209" s="10" t="str">
        <f>IF(AND(ISNUMBER(F209),ISNUMBER(G209),ISNUMBER(M209),ISNUMBER(N209)),ACOS(MIN(1,COS(RADIANS(90-F209))*COS(RADIANS(90-M209))+SIN(RADIANS(90-F209))*SIN(RADIANS(90-M209))*COS(RADIANS(G209-N209))))*6371,"N/A")</f>
        <v>N/A</v>
      </c>
      <c r="AM209" s="10" t="str">
        <f>IF(AND(ISNUMBER(F209),ISNUMBER(G209),ISNUMBER(M209),ISNUMBER(N209)),MOD(DEGREES(ATAN2(COS(RADIANS(M209))*SIN(RADIANS(F209))-SIN(RADIANS(M209))*COS(RADIANS(F209))*COS(RADIANS(G209-N209)),SIN(RADIANS(G209-N209))*COS(RADIANS(F209))))+360,360),"N/A")</f>
        <v>N/A</v>
      </c>
      <c r="AN209" s="2"/>
      <c r="AO209" s="2"/>
    </row>
    <row r="210" spans="1:41" x14ac:dyDescent="0.2">
      <c r="A210" s="4" t="s">
        <v>769</v>
      </c>
      <c r="B210" s="4" t="s">
        <v>771</v>
      </c>
      <c r="C210" s="5" t="s">
        <v>340</v>
      </c>
      <c r="D210" s="4" t="s">
        <v>70</v>
      </c>
      <c r="E210" s="4" t="s">
        <v>89</v>
      </c>
      <c r="F210" s="15">
        <v>40.599699999999999</v>
      </c>
      <c r="G210" s="15">
        <v>14.707800000000001</v>
      </c>
      <c r="H210" s="16">
        <v>-110</v>
      </c>
      <c r="I210" s="4" t="s">
        <v>752</v>
      </c>
      <c r="J210" s="4" t="s">
        <v>15</v>
      </c>
      <c r="K210" s="6">
        <v>40.826999999999998</v>
      </c>
      <c r="L210" s="6">
        <v>14.138999999999999</v>
      </c>
      <c r="M210" s="5" t="s">
        <v>340</v>
      </c>
      <c r="N210" s="5" t="s">
        <v>340</v>
      </c>
      <c r="O210" s="4" t="s">
        <v>20</v>
      </c>
      <c r="P210" s="5">
        <v>26</v>
      </c>
      <c r="Q210" s="5" t="s">
        <v>340</v>
      </c>
      <c r="R210" s="4" t="s">
        <v>41</v>
      </c>
      <c r="S210" s="4" t="s">
        <v>1121</v>
      </c>
      <c r="T210" s="7">
        <v>13761</v>
      </c>
      <c r="U210" s="7">
        <v>14029</v>
      </c>
      <c r="V210" s="7">
        <v>14356</v>
      </c>
      <c r="W210" s="15" t="s">
        <v>933</v>
      </c>
      <c r="X210" s="15" t="s">
        <v>1358</v>
      </c>
      <c r="Y210" s="7" t="s">
        <v>340</v>
      </c>
      <c r="Z210" s="7" t="s">
        <v>340</v>
      </c>
      <c r="AA210" s="7" t="s">
        <v>340</v>
      </c>
      <c r="AB210" s="7" t="s">
        <v>340</v>
      </c>
      <c r="AC210" s="7">
        <v>14120</v>
      </c>
      <c r="AD210" s="7">
        <v>710</v>
      </c>
      <c r="AE210" s="7">
        <v>14037</v>
      </c>
      <c r="AF210" s="7">
        <v>156</v>
      </c>
      <c r="AG210" s="7" t="s">
        <v>340</v>
      </c>
      <c r="AH210" s="5">
        <v>1</v>
      </c>
      <c r="AI210" s="5">
        <v>1</v>
      </c>
      <c r="AJ210" s="9">
        <f>IF(AND(ISNUMBER(F210),ISNUMBER(G210),ISNUMBER(K210),ISNUMBER(L210)),ACOS(MIN(1,COS(RADIANS(90-F210))*COS(RADIANS(90-K210))+SIN(RADIANS(90-F210))*SIN(RADIANS(90-K210))*COS(RADIANS(G210-L210))))*6371,"N/A")</f>
        <v>54.194937821103245</v>
      </c>
      <c r="AK210" s="10">
        <f>IF(AND(ISNUMBER(F210),ISNUMBER(G210),ISNUMBER(K210),ISNUMBER(L210)),MOD(DEGREES(ATAN2(COS(RADIANS(K210))*SIN(RADIANS(F210))-SIN(RADIANS(K210))*COS(RADIANS(F210))*COS(RADIANS(G210-L210)),SIN(RADIANS(G210-L210))*COS(RADIANS(F210))))+360,360),"N/A")</f>
        <v>117.61277086378959</v>
      </c>
      <c r="AL210" s="10" t="str">
        <f>IF(AND(ISNUMBER(F210),ISNUMBER(G210),ISNUMBER(M210),ISNUMBER(N210)),ACOS(MIN(1,COS(RADIANS(90-F210))*COS(RADIANS(90-M210))+SIN(RADIANS(90-F210))*SIN(RADIANS(90-M210))*COS(RADIANS(G210-N210))))*6371,"N/A")</f>
        <v>N/A</v>
      </c>
      <c r="AM210" s="10" t="str">
        <f>IF(AND(ISNUMBER(F210),ISNUMBER(G210),ISNUMBER(M210),ISNUMBER(N210)),MOD(DEGREES(ATAN2(COS(RADIANS(M210))*SIN(RADIANS(F210))-SIN(RADIANS(M210))*COS(RADIANS(F210))*COS(RADIANS(G210-N210)),SIN(RADIANS(G210-N210))*COS(RADIANS(F210))))+360,360),"N/A")</f>
        <v>N/A</v>
      </c>
      <c r="AN210" s="2"/>
      <c r="AO210" s="2"/>
    </row>
    <row r="211" spans="1:41" x14ac:dyDescent="0.2">
      <c r="A211" s="4" t="s">
        <v>767</v>
      </c>
      <c r="B211" s="4" t="s">
        <v>771</v>
      </c>
      <c r="C211" s="5" t="s">
        <v>340</v>
      </c>
      <c r="D211" s="4" t="s">
        <v>70</v>
      </c>
      <c r="E211" s="4" t="s">
        <v>89</v>
      </c>
      <c r="F211" s="15">
        <v>40.599699999999999</v>
      </c>
      <c r="G211" s="15">
        <v>14.707800000000001</v>
      </c>
      <c r="H211" s="16">
        <v>-110</v>
      </c>
      <c r="I211" s="4" t="s">
        <v>752</v>
      </c>
      <c r="J211" s="4" t="s">
        <v>16</v>
      </c>
      <c r="K211" s="6">
        <v>40.820999999999998</v>
      </c>
      <c r="L211" s="6">
        <v>14.426</v>
      </c>
      <c r="M211" s="5" t="s">
        <v>340</v>
      </c>
      <c r="N211" s="5" t="s">
        <v>340</v>
      </c>
      <c r="O211" s="4" t="s">
        <v>297</v>
      </c>
      <c r="P211" s="5">
        <v>22</v>
      </c>
      <c r="Q211" s="5" t="s">
        <v>340</v>
      </c>
      <c r="R211" s="4" t="s">
        <v>41</v>
      </c>
      <c r="S211" s="4" t="s">
        <v>1121</v>
      </c>
      <c r="T211" s="7">
        <v>2742</v>
      </c>
      <c r="U211" s="7">
        <v>2820</v>
      </c>
      <c r="V211" s="7">
        <v>2948</v>
      </c>
      <c r="W211" s="15" t="s">
        <v>1095</v>
      </c>
      <c r="X211" s="15" t="s">
        <v>1369</v>
      </c>
      <c r="Y211" s="7">
        <v>2710</v>
      </c>
      <c r="Z211" s="7">
        <v>60</v>
      </c>
      <c r="AA211" s="7" t="s">
        <v>340</v>
      </c>
      <c r="AB211" s="7" t="s">
        <v>340</v>
      </c>
      <c r="AC211" s="7">
        <v>4020</v>
      </c>
      <c r="AD211" s="7">
        <v>200</v>
      </c>
      <c r="AE211" s="7">
        <v>3414</v>
      </c>
      <c r="AF211" s="7" t="s">
        <v>939</v>
      </c>
      <c r="AG211" s="7" t="s">
        <v>340</v>
      </c>
      <c r="AH211" s="5">
        <v>1</v>
      </c>
      <c r="AI211" s="5">
        <v>1</v>
      </c>
      <c r="AJ211" s="9">
        <f>IF(AND(ISNUMBER(F211),ISNUMBER(G211),ISNUMBER(K211),ISNUMBER(L211)),ACOS(MIN(1,COS(RADIANS(90-F211))*COS(RADIANS(90-K211))+SIN(RADIANS(90-F211))*SIN(RADIANS(90-K211))*COS(RADIANS(G211-L211))))*6371,"N/A")</f>
        <v>34.200764556048341</v>
      </c>
      <c r="AK211" s="10">
        <f>IF(AND(ISNUMBER(F211),ISNUMBER(G211),ISNUMBER(K211),ISNUMBER(L211)),MOD(DEGREES(ATAN2(COS(RADIANS(K211))*SIN(RADIANS(F211))-SIN(RADIANS(K211))*COS(RADIANS(F211))*COS(RADIANS(G211-L211)),SIN(RADIANS(G211-L211))*COS(RADIANS(F211))))+360,360),"N/A")</f>
        <v>135.92113862840972</v>
      </c>
      <c r="AL211" s="10" t="str">
        <f>IF(AND(ISNUMBER(F211),ISNUMBER(G211),ISNUMBER(M211),ISNUMBER(N211)),ACOS(MIN(1,COS(RADIANS(90-F211))*COS(RADIANS(90-M211))+SIN(RADIANS(90-F211))*SIN(RADIANS(90-M211))*COS(RADIANS(G211-N211))))*6371,"N/A")</f>
        <v>N/A</v>
      </c>
      <c r="AM211" s="10" t="str">
        <f>IF(AND(ISNUMBER(F211),ISNUMBER(G211),ISNUMBER(M211),ISNUMBER(N211)),MOD(DEGREES(ATAN2(COS(RADIANS(M211))*SIN(RADIANS(F211))-SIN(RADIANS(M211))*COS(RADIANS(F211))*COS(RADIANS(G211-N211)),SIN(RADIANS(G211-N211))*COS(RADIANS(F211))))+360,360),"N/A")</f>
        <v>N/A</v>
      </c>
      <c r="AN211" s="2"/>
      <c r="AO211" s="2"/>
    </row>
    <row r="212" spans="1:41" x14ac:dyDescent="0.2">
      <c r="A212" s="4" t="s">
        <v>766</v>
      </c>
      <c r="B212" s="4" t="s">
        <v>771</v>
      </c>
      <c r="C212" s="5" t="s">
        <v>340</v>
      </c>
      <c r="D212" s="4" t="s">
        <v>70</v>
      </c>
      <c r="E212" s="4" t="s">
        <v>89</v>
      </c>
      <c r="F212" s="15">
        <v>40.599699999999999</v>
      </c>
      <c r="G212" s="15">
        <v>14.707800000000001</v>
      </c>
      <c r="H212" s="16">
        <v>-110</v>
      </c>
      <c r="I212" s="4" t="s">
        <v>752</v>
      </c>
      <c r="J212" s="4" t="s">
        <v>16</v>
      </c>
      <c r="K212" s="6">
        <v>40.820999999999998</v>
      </c>
      <c r="L212" s="6">
        <v>14.426</v>
      </c>
      <c r="M212" s="5" t="s">
        <v>340</v>
      </c>
      <c r="N212" s="5" t="s">
        <v>340</v>
      </c>
      <c r="O212" s="4" t="s">
        <v>770</v>
      </c>
      <c r="P212" s="5">
        <v>11</v>
      </c>
      <c r="Q212" s="5" t="s">
        <v>340</v>
      </c>
      <c r="R212" s="4" t="s">
        <v>41</v>
      </c>
      <c r="S212" s="4" t="s">
        <v>1121</v>
      </c>
      <c r="T212" s="7">
        <v>2166</v>
      </c>
      <c r="U212" s="7">
        <v>2167</v>
      </c>
      <c r="V212" s="7">
        <v>2168</v>
      </c>
      <c r="W212" s="15" t="s">
        <v>944</v>
      </c>
      <c r="X212" s="15" t="s">
        <v>945</v>
      </c>
      <c r="Y212" s="7" t="s">
        <v>340</v>
      </c>
      <c r="Z212" s="7" t="s">
        <v>340</v>
      </c>
      <c r="AA212" s="7" t="s">
        <v>340</v>
      </c>
      <c r="AB212" s="7" t="s">
        <v>340</v>
      </c>
      <c r="AC212" s="7" t="s">
        <v>340</v>
      </c>
      <c r="AD212" s="7" t="s">
        <v>340</v>
      </c>
      <c r="AE212" s="7" t="s">
        <v>340</v>
      </c>
      <c r="AF212" s="7" t="s">
        <v>340</v>
      </c>
      <c r="AG212" s="7" t="s">
        <v>943</v>
      </c>
      <c r="AH212" s="5">
        <v>1</v>
      </c>
      <c r="AI212" s="5">
        <v>1</v>
      </c>
      <c r="AJ212" s="9">
        <f>IF(AND(ISNUMBER(F212),ISNUMBER(G212),ISNUMBER(K212),ISNUMBER(L212)),ACOS(MIN(1,COS(RADIANS(90-F212))*COS(RADIANS(90-K212))+SIN(RADIANS(90-F212))*SIN(RADIANS(90-K212))*COS(RADIANS(G212-L212))))*6371,"N/A")</f>
        <v>34.200764556048341</v>
      </c>
      <c r="AK212" s="10">
        <f>IF(AND(ISNUMBER(F212),ISNUMBER(G212),ISNUMBER(K212),ISNUMBER(L212)),MOD(DEGREES(ATAN2(COS(RADIANS(K212))*SIN(RADIANS(F212))-SIN(RADIANS(K212))*COS(RADIANS(F212))*COS(RADIANS(G212-L212)),SIN(RADIANS(G212-L212))*COS(RADIANS(F212))))+360,360),"N/A")</f>
        <v>135.92113862840972</v>
      </c>
      <c r="AL212" s="10" t="str">
        <f>IF(AND(ISNUMBER(F212),ISNUMBER(G212),ISNUMBER(M212),ISNUMBER(N212)),ACOS(MIN(1,COS(RADIANS(90-F212))*COS(RADIANS(90-M212))+SIN(RADIANS(90-F212))*SIN(RADIANS(90-M212))*COS(RADIANS(G212-N212))))*6371,"N/A")</f>
        <v>N/A</v>
      </c>
      <c r="AM212" s="10" t="str">
        <f>IF(AND(ISNUMBER(F212),ISNUMBER(G212),ISNUMBER(M212),ISNUMBER(N212)),MOD(DEGREES(ATAN2(COS(RADIANS(M212))*SIN(RADIANS(F212))-SIN(RADIANS(M212))*COS(RADIANS(F212))*COS(RADIANS(G212-N212)),SIN(RADIANS(G212-N212))*COS(RADIANS(F212))))+360,360),"N/A")</f>
        <v>N/A</v>
      </c>
      <c r="AN212" s="2"/>
      <c r="AO212" s="2"/>
    </row>
    <row r="213" spans="1:41" x14ac:dyDescent="0.2">
      <c r="A213" s="4" t="s">
        <v>765</v>
      </c>
      <c r="B213" s="4" t="s">
        <v>771</v>
      </c>
      <c r="C213" s="5" t="s">
        <v>340</v>
      </c>
      <c r="D213" s="4" t="s">
        <v>70</v>
      </c>
      <c r="E213" s="4" t="s">
        <v>89</v>
      </c>
      <c r="F213" s="15">
        <v>40.599699999999999</v>
      </c>
      <c r="G213" s="15">
        <v>14.707800000000001</v>
      </c>
      <c r="H213" s="16">
        <v>-110</v>
      </c>
      <c r="I213" s="4" t="s">
        <v>752</v>
      </c>
      <c r="J213" s="4" t="s">
        <v>16</v>
      </c>
      <c r="K213" s="6">
        <v>40.820999999999998</v>
      </c>
      <c r="L213" s="6">
        <v>14.426</v>
      </c>
      <c r="M213" s="5" t="s">
        <v>340</v>
      </c>
      <c r="N213" s="5" t="s">
        <v>340</v>
      </c>
      <c r="O213" s="4" t="s">
        <v>879</v>
      </c>
      <c r="P213" s="5">
        <v>17</v>
      </c>
      <c r="Q213" s="5" t="s">
        <v>340</v>
      </c>
      <c r="R213" s="4" t="s">
        <v>980</v>
      </c>
      <c r="S213" s="4" t="s">
        <v>1121</v>
      </c>
      <c r="T213" s="7">
        <v>1871</v>
      </c>
      <c r="U213" s="7">
        <v>1871</v>
      </c>
      <c r="V213" s="7">
        <v>1871</v>
      </c>
      <c r="W213" s="15" t="s">
        <v>898</v>
      </c>
      <c r="X213" s="15" t="s">
        <v>332</v>
      </c>
      <c r="Y213" s="7" t="s">
        <v>340</v>
      </c>
      <c r="Z213" s="7" t="s">
        <v>340</v>
      </c>
      <c r="AA213" s="7" t="s">
        <v>340</v>
      </c>
      <c r="AB213" s="7" t="s">
        <v>340</v>
      </c>
      <c r="AC213" s="7" t="s">
        <v>340</v>
      </c>
      <c r="AD213" s="7" t="s">
        <v>340</v>
      </c>
      <c r="AE213" s="7" t="s">
        <v>340</v>
      </c>
      <c r="AF213" s="7" t="s">
        <v>340</v>
      </c>
      <c r="AG213" s="7" t="s">
        <v>905</v>
      </c>
      <c r="AH213" s="5">
        <v>1</v>
      </c>
      <c r="AI213" s="5">
        <v>1</v>
      </c>
      <c r="AJ213" s="9">
        <f>IF(AND(ISNUMBER(F213),ISNUMBER(G213),ISNUMBER(K213),ISNUMBER(L213)),ACOS(MIN(1,COS(RADIANS(90-F213))*COS(RADIANS(90-K213))+SIN(RADIANS(90-F213))*SIN(RADIANS(90-K213))*COS(RADIANS(G213-L213))))*6371,"N/A")</f>
        <v>34.200764556048341</v>
      </c>
      <c r="AK213" s="10">
        <f>IF(AND(ISNUMBER(F213),ISNUMBER(G213),ISNUMBER(K213),ISNUMBER(L213)),MOD(DEGREES(ATAN2(COS(RADIANS(K213))*SIN(RADIANS(F213))-SIN(RADIANS(K213))*COS(RADIANS(F213))*COS(RADIANS(G213-L213)),SIN(RADIANS(G213-L213))*COS(RADIANS(F213))))+360,360),"N/A")</f>
        <v>135.92113862840972</v>
      </c>
      <c r="AL213" s="10" t="str">
        <f>IF(AND(ISNUMBER(F213),ISNUMBER(G213),ISNUMBER(M213),ISNUMBER(N213)),ACOS(MIN(1,COS(RADIANS(90-F213))*COS(RADIANS(90-M213))+SIN(RADIANS(90-F213))*SIN(RADIANS(90-M213))*COS(RADIANS(G213-N213))))*6371,"N/A")</f>
        <v>N/A</v>
      </c>
      <c r="AM213" s="10" t="str">
        <f>IF(AND(ISNUMBER(F213),ISNUMBER(G213),ISNUMBER(M213),ISNUMBER(N213)),MOD(DEGREES(ATAN2(COS(RADIANS(M213))*SIN(RADIANS(F213))-SIN(RADIANS(M213))*COS(RADIANS(F213))*COS(RADIANS(G213-N213)),SIN(RADIANS(G213-N213))*COS(RADIANS(F213))))+360,360),"N/A")</f>
        <v>N/A</v>
      </c>
      <c r="AN213" s="2"/>
      <c r="AO213" s="2"/>
    </row>
    <row r="214" spans="1:41" x14ac:dyDescent="0.2">
      <c r="A214" s="4" t="s">
        <v>763</v>
      </c>
      <c r="B214" s="4" t="s">
        <v>772</v>
      </c>
      <c r="C214" s="5" t="s">
        <v>340</v>
      </c>
      <c r="D214" s="4" t="s">
        <v>70</v>
      </c>
      <c r="E214" s="4" t="s">
        <v>89</v>
      </c>
      <c r="F214" s="15">
        <v>40.595999999999997</v>
      </c>
      <c r="G214" s="15">
        <v>14.706300000000001</v>
      </c>
      <c r="H214" s="16">
        <v>-105</v>
      </c>
      <c r="I214" s="4" t="s">
        <v>773</v>
      </c>
      <c r="J214" s="4" t="s">
        <v>16</v>
      </c>
      <c r="K214" s="6">
        <v>40.820999999999998</v>
      </c>
      <c r="L214" s="6">
        <v>14.426</v>
      </c>
      <c r="M214" s="5" t="s">
        <v>340</v>
      </c>
      <c r="N214" s="5" t="s">
        <v>340</v>
      </c>
      <c r="O214" s="4" t="s">
        <v>882</v>
      </c>
      <c r="P214" s="5">
        <v>11</v>
      </c>
      <c r="Q214" s="5" t="s">
        <v>340</v>
      </c>
      <c r="R214" s="4" t="s">
        <v>41</v>
      </c>
      <c r="S214" s="4" t="s">
        <v>1121</v>
      </c>
      <c r="T214" s="7">
        <v>182</v>
      </c>
      <c r="U214" s="7">
        <f>AVERAGE(V214,T214)</f>
        <v>210</v>
      </c>
      <c r="V214" s="7">
        <v>238</v>
      </c>
      <c r="W214" s="15" t="s">
        <v>900</v>
      </c>
      <c r="X214" s="15" t="s">
        <v>752</v>
      </c>
      <c r="Y214" s="7" t="s">
        <v>340</v>
      </c>
      <c r="Z214" s="7" t="s">
        <v>340</v>
      </c>
      <c r="AA214" s="7" t="s">
        <v>340</v>
      </c>
      <c r="AB214" s="7" t="s">
        <v>340</v>
      </c>
      <c r="AC214" s="7" t="s">
        <v>340</v>
      </c>
      <c r="AD214" s="7" t="s">
        <v>340</v>
      </c>
      <c r="AE214" s="7" t="s">
        <v>1046</v>
      </c>
      <c r="AF214" s="7" t="s">
        <v>1045</v>
      </c>
      <c r="AG214" s="7" t="s">
        <v>340</v>
      </c>
      <c r="AH214" s="5">
        <v>1</v>
      </c>
      <c r="AI214" s="5">
        <v>1</v>
      </c>
      <c r="AJ214" s="9">
        <f>IF(AND(ISNUMBER(F214),ISNUMBER(G214),ISNUMBER(K214),ISNUMBER(L214)),ACOS(MIN(1,COS(RADIANS(90-F214))*COS(RADIANS(90-K214))+SIN(RADIANS(90-F214))*SIN(RADIANS(90-K214))*COS(RADIANS(G214-L214))))*6371,"N/A")</f>
        <v>34.411488033508121</v>
      </c>
      <c r="AK214" s="10">
        <f>IF(AND(ISNUMBER(F214),ISNUMBER(G214),ISNUMBER(K214),ISNUMBER(L214)),MOD(DEGREES(ATAN2(COS(RADIANS(K214))*SIN(RADIANS(F214))-SIN(RADIANS(K214))*COS(RADIANS(F214))*COS(RADIANS(G214-L214)),SIN(RADIANS(G214-L214))*COS(RADIANS(F214))))+360,360),"N/A")</f>
        <v>136.54806385204222</v>
      </c>
      <c r="AL214" s="10" t="str">
        <f>IF(AND(ISNUMBER(F214),ISNUMBER(G214),ISNUMBER(M214),ISNUMBER(N214)),ACOS(MIN(1,COS(RADIANS(90-F214))*COS(RADIANS(90-M214))+SIN(RADIANS(90-F214))*SIN(RADIANS(90-M214))*COS(RADIANS(G214-N214))))*6371,"N/A")</f>
        <v>N/A</v>
      </c>
      <c r="AM214" s="10" t="str">
        <f>IF(AND(ISNUMBER(F214),ISNUMBER(G214),ISNUMBER(M214),ISNUMBER(N214)),MOD(DEGREES(ATAN2(COS(RADIANS(M214))*SIN(RADIANS(F214))-SIN(RADIANS(M214))*COS(RADIANS(F214))*COS(RADIANS(G214-N214)),SIN(RADIANS(G214-N214))*COS(RADIANS(F214))))+360,360),"N/A")</f>
        <v>N/A</v>
      </c>
      <c r="AN214" s="2"/>
      <c r="AO214" s="2"/>
    </row>
    <row r="215" spans="1:41" x14ac:dyDescent="0.2">
      <c r="A215" s="4" t="s">
        <v>513</v>
      </c>
      <c r="B215" s="4" t="s">
        <v>124</v>
      </c>
      <c r="C215" s="5">
        <v>618</v>
      </c>
      <c r="D215" s="4" t="s">
        <v>70</v>
      </c>
      <c r="E215" s="4" t="s">
        <v>71</v>
      </c>
      <c r="F215" s="15">
        <v>42.259799999999998</v>
      </c>
      <c r="G215" s="15">
        <v>15.393800000000001</v>
      </c>
      <c r="H215" s="16">
        <v>-121</v>
      </c>
      <c r="I215" s="4" t="s">
        <v>210</v>
      </c>
      <c r="J215" s="4" t="s">
        <v>15</v>
      </c>
      <c r="K215" s="6">
        <v>40.826999999999998</v>
      </c>
      <c r="L215" s="6">
        <v>14.138999999999999</v>
      </c>
      <c r="M215" s="5" t="s">
        <v>340</v>
      </c>
      <c r="N215" s="5" t="s">
        <v>340</v>
      </c>
      <c r="O215" s="4" t="s">
        <v>199</v>
      </c>
      <c r="P215" s="5">
        <v>48</v>
      </c>
      <c r="Q215" s="5">
        <v>9999</v>
      </c>
      <c r="R215" s="4" t="s">
        <v>698</v>
      </c>
      <c r="S215" s="4" t="s">
        <v>1121</v>
      </c>
      <c r="T215" s="7">
        <v>4483</v>
      </c>
      <c r="U215" s="7">
        <v>4540</v>
      </c>
      <c r="V215" s="7">
        <v>4627</v>
      </c>
      <c r="W215" s="15" t="s">
        <v>928</v>
      </c>
      <c r="X215" s="21" t="s">
        <v>1357</v>
      </c>
      <c r="Y215" s="7" t="s">
        <v>340</v>
      </c>
      <c r="Z215" s="7" t="s">
        <v>340</v>
      </c>
      <c r="AA215" s="7" t="s">
        <v>340</v>
      </c>
      <c r="AB215" s="7" t="s">
        <v>340</v>
      </c>
      <c r="AC215" s="7">
        <v>5390</v>
      </c>
      <c r="AD215" s="7">
        <v>270</v>
      </c>
      <c r="AE215" s="7">
        <v>4546</v>
      </c>
      <c r="AF215" s="7">
        <v>36</v>
      </c>
      <c r="AG215" s="7" t="s">
        <v>340</v>
      </c>
      <c r="AH215" s="5">
        <v>1</v>
      </c>
      <c r="AI215" s="5">
        <v>1</v>
      </c>
      <c r="AJ215" s="9">
        <f>IF(AND(ISNUMBER(F215),ISNUMBER(G215),ISNUMBER(K215),ISNUMBER(L215)),ACOS(MIN(1,COS(RADIANS(90-F215))*COS(RADIANS(90-K215))+SIN(RADIANS(90-F215))*SIN(RADIANS(90-K215))*COS(RADIANS(G215-L215))))*6371,"N/A")</f>
        <v>190.48981950825333</v>
      </c>
      <c r="AK215" s="10">
        <f>IF(AND(ISNUMBER(F215),ISNUMBER(G215),ISNUMBER(K215),ISNUMBER(L215)),MOD(DEGREES(ATAN2(COS(RADIANS(K215))*SIN(RADIANS(F215))-SIN(RADIANS(K215))*COS(RADIANS(F215))*COS(RADIANS(G215-L215)),SIN(RADIANS(G215-L215))*COS(RADIANS(F215))))+360,360),"N/A")</f>
        <v>32.829308168678381</v>
      </c>
      <c r="AL215" s="10" t="str">
        <f>IF(AND(ISNUMBER(F215),ISNUMBER(G215),ISNUMBER(M215),ISNUMBER(N215)),ACOS(MIN(1,COS(RADIANS(90-F215))*COS(RADIANS(90-M215))+SIN(RADIANS(90-F215))*SIN(RADIANS(90-M215))*COS(RADIANS(G215-N215))))*6371,"N/A")</f>
        <v>N/A</v>
      </c>
      <c r="AM215" s="10" t="str">
        <f>IF(AND(ISNUMBER(F215),ISNUMBER(G215),ISNUMBER(M215),ISNUMBER(N215)),MOD(DEGREES(ATAN2(COS(RADIANS(M215))*SIN(RADIANS(F215))-SIN(RADIANS(M215))*COS(RADIANS(F215))*COS(RADIANS(G215-N215)),SIN(RADIANS(G215-N215))*COS(RADIANS(F215))))+360,360),"N/A")</f>
        <v>N/A</v>
      </c>
      <c r="AN215" s="2"/>
      <c r="AO215" s="2"/>
    </row>
    <row r="216" spans="1:41" x14ac:dyDescent="0.2">
      <c r="A216" s="4" t="s">
        <v>515</v>
      </c>
      <c r="B216" s="8" t="s">
        <v>125</v>
      </c>
      <c r="C216" s="20">
        <v>619</v>
      </c>
      <c r="D216" s="8" t="s">
        <v>70</v>
      </c>
      <c r="E216" s="8" t="s">
        <v>71</v>
      </c>
      <c r="F216" s="21">
        <v>42.232599999999998</v>
      </c>
      <c r="G216" s="21">
        <v>14.895099999999999</v>
      </c>
      <c r="H216" s="19">
        <v>-72</v>
      </c>
      <c r="I216" s="8" t="s">
        <v>210</v>
      </c>
      <c r="J216" s="4" t="s">
        <v>15</v>
      </c>
      <c r="K216" s="6">
        <v>40.826999999999998</v>
      </c>
      <c r="L216" s="6">
        <v>14.138999999999999</v>
      </c>
      <c r="M216" s="5" t="s">
        <v>340</v>
      </c>
      <c r="N216" s="5" t="s">
        <v>340</v>
      </c>
      <c r="O216" s="4" t="s">
        <v>199</v>
      </c>
      <c r="P216" s="5">
        <v>57</v>
      </c>
      <c r="Q216" s="5">
        <v>9999</v>
      </c>
      <c r="R216" s="4" t="s">
        <v>698</v>
      </c>
      <c r="S216" s="4" t="s">
        <v>1121</v>
      </c>
      <c r="T216" s="7">
        <v>4483</v>
      </c>
      <c r="U216" s="7">
        <v>4540</v>
      </c>
      <c r="V216" s="7">
        <v>4627</v>
      </c>
      <c r="W216" s="15" t="s">
        <v>928</v>
      </c>
      <c r="X216" s="21" t="s">
        <v>1357</v>
      </c>
      <c r="Y216" s="7" t="s">
        <v>340</v>
      </c>
      <c r="Z216" s="7" t="s">
        <v>340</v>
      </c>
      <c r="AA216" s="7" t="s">
        <v>340</v>
      </c>
      <c r="AB216" s="7" t="s">
        <v>340</v>
      </c>
      <c r="AC216" s="7">
        <v>5390</v>
      </c>
      <c r="AD216" s="7">
        <v>270</v>
      </c>
      <c r="AE216" s="7">
        <v>4546</v>
      </c>
      <c r="AF216" s="7">
        <v>36</v>
      </c>
      <c r="AG216" s="7" t="s">
        <v>340</v>
      </c>
      <c r="AH216" s="5">
        <v>1</v>
      </c>
      <c r="AI216" s="5">
        <v>1</v>
      </c>
      <c r="AJ216" s="9">
        <f>IF(AND(ISNUMBER(F216),ISNUMBER(G216),ISNUMBER(K216),ISNUMBER(L216)),ACOS(MIN(1,COS(RADIANS(90-F216))*COS(RADIANS(90-K216))+SIN(RADIANS(90-F216))*SIN(RADIANS(90-K216))*COS(RADIANS(G216-L216))))*6371,"N/A")</f>
        <v>168.49020066458206</v>
      </c>
      <c r="AK216" s="10">
        <f>IF(AND(ISNUMBER(F216),ISNUMBER(G216),ISNUMBER(K216),ISNUMBER(L216)),MOD(DEGREES(ATAN2(COS(RADIANS(K216))*SIN(RADIANS(F216))-SIN(RADIANS(K216))*COS(RADIANS(F216))*COS(RADIANS(G216-L216)),SIN(RADIANS(G216-L216))*COS(RADIANS(F216))))+360,360),"N/A")</f>
        <v>21.68439724543407</v>
      </c>
      <c r="AL216" s="10" t="str">
        <f>IF(AND(ISNUMBER(F216),ISNUMBER(G216),ISNUMBER(M216),ISNUMBER(N216)),ACOS(MIN(1,COS(RADIANS(90-F216))*COS(RADIANS(90-M216))+SIN(RADIANS(90-F216))*SIN(RADIANS(90-M216))*COS(RADIANS(G216-N216))))*6371,"N/A")</f>
        <v>N/A</v>
      </c>
      <c r="AM216" s="10" t="str">
        <f>IF(AND(ISNUMBER(F216),ISNUMBER(G216),ISNUMBER(M216),ISNUMBER(N216)),MOD(DEGREES(ATAN2(COS(RADIANS(M216))*SIN(RADIANS(F216))-SIN(RADIANS(M216))*COS(RADIANS(F216))*COS(RADIANS(G216-N216)),SIN(RADIANS(G216-N216))*COS(RADIANS(F216))))+360,360),"N/A")</f>
        <v>N/A</v>
      </c>
      <c r="AN216" s="2"/>
      <c r="AO216" s="2"/>
    </row>
    <row r="217" spans="1:41" x14ac:dyDescent="0.2">
      <c r="A217" s="4" t="s">
        <v>245</v>
      </c>
      <c r="B217" s="4" t="s">
        <v>69</v>
      </c>
      <c r="C217" s="5">
        <v>766</v>
      </c>
      <c r="D217" s="4" t="s">
        <v>70</v>
      </c>
      <c r="E217" s="4" t="s">
        <v>71</v>
      </c>
      <c r="F217" s="15">
        <v>41.838799999999999</v>
      </c>
      <c r="G217" s="15">
        <v>16.392600000000002</v>
      </c>
      <c r="H217" s="16">
        <v>-66</v>
      </c>
      <c r="I217" s="4" t="s">
        <v>210</v>
      </c>
      <c r="J217" s="8" t="s">
        <v>15</v>
      </c>
      <c r="K217" s="6">
        <v>40.826999999999998</v>
      </c>
      <c r="L217" s="6">
        <v>14.138999999999999</v>
      </c>
      <c r="M217" s="5" t="s">
        <v>340</v>
      </c>
      <c r="N217" s="5" t="s">
        <v>340</v>
      </c>
      <c r="O217" s="4" t="s">
        <v>199</v>
      </c>
      <c r="P217" s="5">
        <v>30</v>
      </c>
      <c r="Q217" s="5">
        <v>9999</v>
      </c>
      <c r="R217" s="4" t="s">
        <v>698</v>
      </c>
      <c r="S217" s="4" t="s">
        <v>1121</v>
      </c>
      <c r="T217" s="7">
        <v>4483</v>
      </c>
      <c r="U217" s="7">
        <v>4540</v>
      </c>
      <c r="V217" s="7">
        <v>4627</v>
      </c>
      <c r="W217" s="15" t="s">
        <v>928</v>
      </c>
      <c r="X217" s="21" t="s">
        <v>1357</v>
      </c>
      <c r="Y217" s="7" t="s">
        <v>340</v>
      </c>
      <c r="Z217" s="7" t="s">
        <v>340</v>
      </c>
      <c r="AA217" s="7" t="s">
        <v>340</v>
      </c>
      <c r="AB217" s="7" t="s">
        <v>340</v>
      </c>
      <c r="AC217" s="7">
        <v>5390</v>
      </c>
      <c r="AD217" s="7">
        <v>270</v>
      </c>
      <c r="AE217" s="7">
        <v>4546</v>
      </c>
      <c r="AF217" s="7">
        <v>36</v>
      </c>
      <c r="AG217" s="7" t="s">
        <v>340</v>
      </c>
      <c r="AH217" s="5">
        <v>1</v>
      </c>
      <c r="AI217" s="5">
        <v>1</v>
      </c>
      <c r="AJ217" s="9">
        <f>IF(AND(ISNUMBER(F217),ISNUMBER(G217),ISNUMBER(K217),ISNUMBER(L217)),ACOS(MIN(1,COS(RADIANS(90-F217))*COS(RADIANS(90-K217))+SIN(RADIANS(90-F217))*SIN(RADIANS(90-K217))*COS(RADIANS(G217-L217))))*6371,"N/A")</f>
        <v>219.22195575070745</v>
      </c>
      <c r="AK217" s="10">
        <f>IF(AND(ISNUMBER(F217),ISNUMBER(G217),ISNUMBER(K217),ISNUMBER(L217)),MOD(DEGREES(ATAN2(COS(RADIANS(K217))*SIN(RADIANS(F217))-SIN(RADIANS(K217))*COS(RADIANS(F217))*COS(RADIANS(G217-L217)),SIN(RADIANS(G217-L217))*COS(RADIANS(F217))))+360,360),"N/A")</f>
        <v>58.383198911891782</v>
      </c>
      <c r="AL217" s="10" t="str">
        <f>IF(AND(ISNUMBER(F217),ISNUMBER(G217),ISNUMBER(M217),ISNUMBER(N217)),ACOS(MIN(1,COS(RADIANS(90-F217))*COS(RADIANS(90-M217))+SIN(RADIANS(90-F217))*SIN(RADIANS(90-M217))*COS(RADIANS(G217-N217))))*6371,"N/A")</f>
        <v>N/A</v>
      </c>
      <c r="AM217" s="10" t="str">
        <f>IF(AND(ISNUMBER(F217),ISNUMBER(G217),ISNUMBER(M217),ISNUMBER(N217)),MOD(DEGREES(ATAN2(COS(RADIANS(M217))*SIN(RADIANS(F217))-SIN(RADIANS(M217))*COS(RADIANS(F217))*COS(RADIANS(G217-N217)),SIN(RADIANS(G217-N217))*COS(RADIANS(F217))))+360,360),"N/A")</f>
        <v>N/A</v>
      </c>
      <c r="AN217" s="2"/>
      <c r="AO217" s="2"/>
    </row>
    <row r="218" spans="1:41" x14ac:dyDescent="0.2">
      <c r="A218" s="4" t="s">
        <v>371</v>
      </c>
      <c r="B218" s="4" t="s">
        <v>86</v>
      </c>
      <c r="C218" s="5">
        <v>767</v>
      </c>
      <c r="D218" s="4" t="s">
        <v>70</v>
      </c>
      <c r="E218" s="4" t="s">
        <v>71</v>
      </c>
      <c r="F218" s="15">
        <v>41.722799999999999</v>
      </c>
      <c r="G218" s="15">
        <v>16.462199999999999</v>
      </c>
      <c r="H218" s="16">
        <v>-76</v>
      </c>
      <c r="I218" s="4" t="s">
        <v>210</v>
      </c>
      <c r="J218" s="8" t="s">
        <v>15</v>
      </c>
      <c r="K218" s="6">
        <v>40.826999999999998</v>
      </c>
      <c r="L218" s="6">
        <v>14.138999999999999</v>
      </c>
      <c r="M218" s="5" t="s">
        <v>340</v>
      </c>
      <c r="N218" s="5" t="s">
        <v>340</v>
      </c>
      <c r="O218" s="4" t="s">
        <v>199</v>
      </c>
      <c r="P218" s="5">
        <v>39</v>
      </c>
      <c r="Q218" s="5">
        <v>9999</v>
      </c>
      <c r="R218" s="4" t="s">
        <v>698</v>
      </c>
      <c r="S218" s="4" t="s">
        <v>1121</v>
      </c>
      <c r="T218" s="7">
        <v>4483</v>
      </c>
      <c r="U218" s="7">
        <v>4540</v>
      </c>
      <c r="V218" s="7">
        <v>4627</v>
      </c>
      <c r="W218" s="15" t="s">
        <v>928</v>
      </c>
      <c r="X218" s="21" t="s">
        <v>1357</v>
      </c>
      <c r="Y218" s="7" t="s">
        <v>340</v>
      </c>
      <c r="Z218" s="7" t="s">
        <v>340</v>
      </c>
      <c r="AA218" s="7" t="s">
        <v>340</v>
      </c>
      <c r="AB218" s="7" t="s">
        <v>340</v>
      </c>
      <c r="AC218" s="7">
        <v>5390</v>
      </c>
      <c r="AD218" s="7">
        <v>270</v>
      </c>
      <c r="AE218" s="7">
        <v>4546</v>
      </c>
      <c r="AF218" s="7">
        <v>36</v>
      </c>
      <c r="AG218" s="7" t="s">
        <v>340</v>
      </c>
      <c r="AH218" s="5">
        <v>1</v>
      </c>
      <c r="AI218" s="5">
        <v>1</v>
      </c>
      <c r="AJ218" s="9">
        <f>IF(AND(ISNUMBER(F218),ISNUMBER(G218),ISNUMBER(K218),ISNUMBER(L218)),ACOS(MIN(1,COS(RADIANS(90-F218))*COS(RADIANS(90-K218))+SIN(RADIANS(90-F218))*SIN(RADIANS(90-K218))*COS(RADIANS(G218-L218))))*6371,"N/A")</f>
        <v>218.19764032560155</v>
      </c>
      <c r="AK218" s="10">
        <f>IF(AND(ISNUMBER(F218),ISNUMBER(G218),ISNUMBER(K218),ISNUMBER(L218)),MOD(DEGREES(ATAN2(COS(RADIANS(K218))*SIN(RADIANS(F218))-SIN(RADIANS(K218))*COS(RADIANS(F218))*COS(RADIANS(G218-L218)),SIN(RADIANS(G218-L218))*COS(RADIANS(F218))))+360,360),"N/A")</f>
        <v>62.076705445710729</v>
      </c>
      <c r="AL218" s="10" t="str">
        <f>IF(AND(ISNUMBER(F218),ISNUMBER(G218),ISNUMBER(M218),ISNUMBER(N218)),ACOS(MIN(1,COS(RADIANS(90-F218))*COS(RADIANS(90-M218))+SIN(RADIANS(90-F218))*SIN(RADIANS(90-M218))*COS(RADIANS(G218-N218))))*6371,"N/A")</f>
        <v>N/A</v>
      </c>
      <c r="AM218" s="10" t="str">
        <f>IF(AND(ISNUMBER(F218),ISNUMBER(G218),ISNUMBER(M218),ISNUMBER(N218)),MOD(DEGREES(ATAN2(COS(RADIANS(M218))*SIN(RADIANS(F218))-SIN(RADIANS(M218))*COS(RADIANS(F218))*COS(RADIANS(G218-N218)),SIN(RADIANS(G218-N218))*COS(RADIANS(F218))))+360,360),"N/A")</f>
        <v>N/A</v>
      </c>
      <c r="AN218" s="2"/>
      <c r="AO218" s="2"/>
    </row>
    <row r="219" spans="1:41" x14ac:dyDescent="0.2">
      <c r="A219" s="4" t="s">
        <v>376</v>
      </c>
      <c r="B219" s="4" t="s">
        <v>87</v>
      </c>
      <c r="C219" s="5">
        <v>768</v>
      </c>
      <c r="D219" s="4" t="s">
        <v>70</v>
      </c>
      <c r="E219" s="4" t="s">
        <v>71</v>
      </c>
      <c r="F219" s="15">
        <v>41.219799999999999</v>
      </c>
      <c r="G219" s="15">
        <v>16.845600000000001</v>
      </c>
      <c r="H219" s="16">
        <v>-82</v>
      </c>
      <c r="I219" s="4" t="s">
        <v>210</v>
      </c>
      <c r="J219" s="8" t="s">
        <v>15</v>
      </c>
      <c r="K219" s="6">
        <v>40.826999999999998</v>
      </c>
      <c r="L219" s="6">
        <v>14.138999999999999</v>
      </c>
      <c r="M219" s="5" t="s">
        <v>340</v>
      </c>
      <c r="N219" s="5" t="s">
        <v>340</v>
      </c>
      <c r="O219" s="4" t="s">
        <v>199</v>
      </c>
      <c r="P219" s="5">
        <v>28</v>
      </c>
      <c r="Q219" s="5">
        <v>9999</v>
      </c>
      <c r="R219" s="4" t="s">
        <v>698</v>
      </c>
      <c r="S219" s="4" t="s">
        <v>1121</v>
      </c>
      <c r="T219" s="7">
        <v>4483</v>
      </c>
      <c r="U219" s="7">
        <v>4540</v>
      </c>
      <c r="V219" s="7">
        <v>4627</v>
      </c>
      <c r="W219" s="15" t="s">
        <v>928</v>
      </c>
      <c r="X219" s="21" t="s">
        <v>1357</v>
      </c>
      <c r="Y219" s="7" t="s">
        <v>340</v>
      </c>
      <c r="Z219" s="7" t="s">
        <v>340</v>
      </c>
      <c r="AA219" s="7" t="s">
        <v>340</v>
      </c>
      <c r="AB219" s="7" t="s">
        <v>340</v>
      </c>
      <c r="AC219" s="7">
        <v>5390</v>
      </c>
      <c r="AD219" s="7">
        <v>270</v>
      </c>
      <c r="AE219" s="7">
        <v>4546</v>
      </c>
      <c r="AF219" s="7">
        <v>36</v>
      </c>
      <c r="AG219" s="7" t="s">
        <v>340</v>
      </c>
      <c r="AH219" s="5">
        <v>1</v>
      </c>
      <c r="AI219" s="5">
        <v>1</v>
      </c>
      <c r="AJ219" s="9">
        <f>IF(AND(ISNUMBER(F219),ISNUMBER(G219),ISNUMBER(K219),ISNUMBER(L219)),ACOS(MIN(1,COS(RADIANS(90-F219))*COS(RADIANS(90-K219))+SIN(RADIANS(90-F219))*SIN(RADIANS(90-K219))*COS(RADIANS(G219-L219))))*6371,"N/A")</f>
        <v>231.20931597598118</v>
      </c>
      <c r="AK219" s="10">
        <f>IF(AND(ISNUMBER(F219),ISNUMBER(G219),ISNUMBER(K219),ISNUMBER(L219)),MOD(DEGREES(ATAN2(COS(RADIANS(K219))*SIN(RADIANS(F219))-SIN(RADIANS(K219))*COS(RADIANS(F219))*COS(RADIANS(G219-L219)),SIN(RADIANS(G219-L219))*COS(RADIANS(F219))))+360,360),"N/A")</f>
        <v>78.225047457104438</v>
      </c>
      <c r="AL219" s="10" t="str">
        <f>IF(AND(ISNUMBER(F219),ISNUMBER(G219),ISNUMBER(M219),ISNUMBER(N219)),ACOS(MIN(1,COS(RADIANS(90-F219))*COS(RADIANS(90-M219))+SIN(RADIANS(90-F219))*SIN(RADIANS(90-M219))*COS(RADIANS(G219-N219))))*6371,"N/A")</f>
        <v>N/A</v>
      </c>
      <c r="AM219" s="10" t="str">
        <f>IF(AND(ISNUMBER(F219),ISNUMBER(G219),ISNUMBER(M219),ISNUMBER(N219)),MOD(DEGREES(ATAN2(COS(RADIANS(M219))*SIN(RADIANS(F219))-SIN(RADIANS(M219))*COS(RADIANS(F219))*COS(RADIANS(G219-N219)),SIN(RADIANS(G219-N219))*COS(RADIANS(F219))))+360,360),"N/A")</f>
        <v>N/A</v>
      </c>
      <c r="AN219" s="2"/>
      <c r="AO219" s="2"/>
    </row>
    <row r="220" spans="1:41" x14ac:dyDescent="0.2">
      <c r="A220" s="4" t="s">
        <v>377</v>
      </c>
      <c r="B220" s="4" t="s">
        <v>88</v>
      </c>
      <c r="C220" s="5">
        <v>769</v>
      </c>
      <c r="D220" s="4" t="s">
        <v>70</v>
      </c>
      <c r="E220" s="4" t="s">
        <v>71</v>
      </c>
      <c r="F220" s="15">
        <v>41.162599999999998</v>
      </c>
      <c r="G220" s="15">
        <v>16.898599999999998</v>
      </c>
      <c r="H220" s="16">
        <v>-73</v>
      </c>
      <c r="I220" s="4" t="s">
        <v>210</v>
      </c>
      <c r="J220" s="8" t="s">
        <v>15</v>
      </c>
      <c r="K220" s="6">
        <v>40.826999999999998</v>
      </c>
      <c r="L220" s="6">
        <v>14.138999999999999</v>
      </c>
      <c r="M220" s="5" t="s">
        <v>340</v>
      </c>
      <c r="N220" s="5" t="s">
        <v>340</v>
      </c>
      <c r="O220" s="4" t="s">
        <v>199</v>
      </c>
      <c r="P220" s="5">
        <v>26</v>
      </c>
      <c r="Q220" s="5">
        <v>9999</v>
      </c>
      <c r="R220" s="4" t="s">
        <v>698</v>
      </c>
      <c r="S220" s="4" t="s">
        <v>1121</v>
      </c>
      <c r="T220" s="7">
        <v>4483</v>
      </c>
      <c r="U220" s="7">
        <v>4540</v>
      </c>
      <c r="V220" s="7">
        <v>4627</v>
      </c>
      <c r="W220" s="15" t="s">
        <v>928</v>
      </c>
      <c r="X220" s="21" t="s">
        <v>1357</v>
      </c>
      <c r="Y220" s="7" t="s">
        <v>340</v>
      </c>
      <c r="Z220" s="7" t="s">
        <v>340</v>
      </c>
      <c r="AA220" s="7" t="s">
        <v>340</v>
      </c>
      <c r="AB220" s="7" t="s">
        <v>340</v>
      </c>
      <c r="AC220" s="7">
        <v>5390</v>
      </c>
      <c r="AD220" s="7">
        <v>270</v>
      </c>
      <c r="AE220" s="7">
        <v>4546</v>
      </c>
      <c r="AF220" s="7">
        <v>36</v>
      </c>
      <c r="AG220" s="7" t="s">
        <v>340</v>
      </c>
      <c r="AH220" s="5">
        <v>1</v>
      </c>
      <c r="AI220" s="5">
        <v>1</v>
      </c>
      <c r="AJ220" s="9">
        <f>IF(AND(ISNUMBER(F220),ISNUMBER(G220),ISNUMBER(K220),ISNUMBER(L220)),ACOS(MIN(1,COS(RADIANS(90-F220))*COS(RADIANS(90-K220))+SIN(RADIANS(90-F220))*SIN(RADIANS(90-K220))*COS(RADIANS(G220-L220))))*6371,"N/A")</f>
        <v>234.58006211911686</v>
      </c>
      <c r="AK220" s="10">
        <f>IF(AND(ISNUMBER(F220),ISNUMBER(G220),ISNUMBER(K220),ISNUMBER(L220)),MOD(DEGREES(ATAN2(COS(RADIANS(K220))*SIN(RADIANS(F220))-SIN(RADIANS(K220))*COS(RADIANS(F220))*COS(RADIANS(G220-L220)),SIN(RADIANS(G220-L220))*COS(RADIANS(F220))))+360,360),"N/A")</f>
        <v>79.943424061094106</v>
      </c>
      <c r="AL220" s="10" t="str">
        <f>IF(AND(ISNUMBER(F220),ISNUMBER(G220),ISNUMBER(M220),ISNUMBER(N220)),ACOS(MIN(1,COS(RADIANS(90-F220))*COS(RADIANS(90-M220))+SIN(RADIANS(90-F220))*SIN(RADIANS(90-M220))*COS(RADIANS(G220-N220))))*6371,"N/A")</f>
        <v>N/A</v>
      </c>
      <c r="AM220" s="10" t="str">
        <f>IF(AND(ISNUMBER(F220),ISNUMBER(G220),ISNUMBER(M220),ISNUMBER(N220)),MOD(DEGREES(ATAN2(COS(RADIANS(M220))*SIN(RADIANS(F220))-SIN(RADIANS(M220))*COS(RADIANS(F220))*COS(RADIANS(G220-N220)),SIN(RADIANS(G220-N220))*COS(RADIANS(F220))))+360,360),"N/A")</f>
        <v>N/A</v>
      </c>
      <c r="AN220" s="2"/>
      <c r="AO220" s="2"/>
    </row>
    <row r="221" spans="1:41" x14ac:dyDescent="0.2">
      <c r="A221" s="4" t="s">
        <v>507</v>
      </c>
      <c r="B221" s="4" t="s">
        <v>141</v>
      </c>
      <c r="C221" s="5">
        <v>770</v>
      </c>
      <c r="D221" s="4" t="s">
        <v>70</v>
      </c>
      <c r="E221" s="4" t="s">
        <v>71</v>
      </c>
      <c r="F221" s="15">
        <v>42.2547</v>
      </c>
      <c r="G221" s="15">
        <v>16.879000000000001</v>
      </c>
      <c r="H221" s="16">
        <v>-512</v>
      </c>
      <c r="I221" s="4" t="s">
        <v>210</v>
      </c>
      <c r="J221" s="4" t="s">
        <v>15</v>
      </c>
      <c r="K221" s="6">
        <v>40.826999999999998</v>
      </c>
      <c r="L221" s="6">
        <v>14.138999999999999</v>
      </c>
      <c r="M221" s="5" t="s">
        <v>340</v>
      </c>
      <c r="N221" s="5" t="s">
        <v>340</v>
      </c>
      <c r="O221" s="4" t="s">
        <v>232</v>
      </c>
      <c r="P221" s="5">
        <v>23</v>
      </c>
      <c r="Q221" s="5">
        <v>9999</v>
      </c>
      <c r="R221" s="4" t="s">
        <v>698</v>
      </c>
      <c r="S221" s="4" t="s">
        <v>1121</v>
      </c>
      <c r="T221" s="7">
        <v>11860</v>
      </c>
      <c r="U221" s="7">
        <v>12096</v>
      </c>
      <c r="V221" s="7">
        <v>12396</v>
      </c>
      <c r="W221" s="15" t="s">
        <v>928</v>
      </c>
      <c r="X221" s="21" t="s">
        <v>1357</v>
      </c>
      <c r="Y221" s="7" t="s">
        <v>340</v>
      </c>
      <c r="Z221" s="7" t="s">
        <v>340</v>
      </c>
      <c r="AA221" s="7" t="s">
        <v>340</v>
      </c>
      <c r="AB221" s="7" t="s">
        <v>340</v>
      </c>
      <c r="AC221" s="7">
        <v>12180</v>
      </c>
      <c r="AD221" s="7">
        <v>610</v>
      </c>
      <c r="AE221" s="7">
        <v>12104</v>
      </c>
      <c r="AF221" s="7">
        <v>141</v>
      </c>
      <c r="AG221" s="7" t="s">
        <v>340</v>
      </c>
      <c r="AH221" s="5">
        <v>1</v>
      </c>
      <c r="AI221" s="5">
        <v>1</v>
      </c>
      <c r="AJ221" s="9">
        <f>IF(AND(ISNUMBER(F221),ISNUMBER(G221),ISNUMBER(K221),ISNUMBER(L221)),ACOS(MIN(1,COS(RADIANS(90-F221))*COS(RADIANS(90-K221))+SIN(RADIANS(90-F221))*SIN(RADIANS(90-K221))*COS(RADIANS(G221-L221))))*6371,"N/A")</f>
        <v>277.83615037327081</v>
      </c>
      <c r="AK221" s="10">
        <f>IF(AND(ISNUMBER(F221),ISNUMBER(G221),ISNUMBER(K221),ISNUMBER(L221)),MOD(DEGREES(ATAN2(COS(RADIANS(K221))*SIN(RADIANS(F221))-SIN(RADIANS(K221))*COS(RADIANS(F221))*COS(RADIANS(G221-L221)),SIN(RADIANS(G221-L221))*COS(RADIANS(F221))))+360,360),"N/A")</f>
        <v>54.25332426674828</v>
      </c>
      <c r="AL221" s="10" t="str">
        <f>IF(AND(ISNUMBER(F221),ISNUMBER(G221),ISNUMBER(M221),ISNUMBER(N221)),ACOS(MIN(1,COS(RADIANS(90-F221))*COS(RADIANS(90-M221))+SIN(RADIANS(90-F221))*SIN(RADIANS(90-M221))*COS(RADIANS(G221-N221))))*6371,"N/A")</f>
        <v>N/A</v>
      </c>
      <c r="AM221" s="10" t="str">
        <f>IF(AND(ISNUMBER(F221),ISNUMBER(G221),ISNUMBER(M221),ISNUMBER(N221)),MOD(DEGREES(ATAN2(COS(RADIANS(M221))*SIN(RADIANS(F221))-SIN(RADIANS(M221))*COS(RADIANS(F221))*COS(RADIANS(G221-N221)),SIN(RADIANS(G221-N221))*COS(RADIANS(F221))))+360,360),"N/A")</f>
        <v>N/A</v>
      </c>
      <c r="AN221" s="2"/>
      <c r="AO221" s="2"/>
    </row>
    <row r="222" spans="1:41" x14ac:dyDescent="0.2">
      <c r="A222" s="4" t="s">
        <v>378</v>
      </c>
      <c r="B222" s="4" t="s">
        <v>88</v>
      </c>
      <c r="C222" s="5">
        <v>769</v>
      </c>
      <c r="D222" s="4" t="s">
        <v>70</v>
      </c>
      <c r="E222" s="4" t="s">
        <v>71</v>
      </c>
      <c r="F222" s="15">
        <v>41.162599999999998</v>
      </c>
      <c r="G222" s="15">
        <v>16.898599999999998</v>
      </c>
      <c r="H222" s="16">
        <v>-73</v>
      </c>
      <c r="I222" s="4" t="s">
        <v>210</v>
      </c>
      <c r="J222" s="4" t="s">
        <v>16</v>
      </c>
      <c r="K222" s="6">
        <v>40.820999999999998</v>
      </c>
      <c r="L222" s="6">
        <v>14.426</v>
      </c>
      <c r="M222" s="5" t="s">
        <v>340</v>
      </c>
      <c r="N222" s="5" t="s">
        <v>340</v>
      </c>
      <c r="O222" s="4" t="s">
        <v>668</v>
      </c>
      <c r="P222" s="5">
        <v>8</v>
      </c>
      <c r="Q222" s="5">
        <v>9999</v>
      </c>
      <c r="R222" s="4" t="s">
        <v>698</v>
      </c>
      <c r="S222" s="4" t="s">
        <v>1121</v>
      </c>
      <c r="T222" s="7">
        <v>1438</v>
      </c>
      <c r="U222" s="7">
        <v>1438</v>
      </c>
      <c r="V222" s="7">
        <v>1438</v>
      </c>
      <c r="W222" s="15" t="s">
        <v>898</v>
      </c>
      <c r="X222" s="15" t="s">
        <v>332</v>
      </c>
      <c r="Y222" s="7" t="s">
        <v>340</v>
      </c>
      <c r="Z222" s="7" t="s">
        <v>340</v>
      </c>
      <c r="AA222" s="7" t="s">
        <v>340</v>
      </c>
      <c r="AB222" s="7" t="s">
        <v>340</v>
      </c>
      <c r="AC222" s="7" t="s">
        <v>340</v>
      </c>
      <c r="AD222" s="7" t="s">
        <v>340</v>
      </c>
      <c r="AE222" s="7" t="s">
        <v>340</v>
      </c>
      <c r="AF222" s="7" t="s">
        <v>340</v>
      </c>
      <c r="AG222" s="7" t="s">
        <v>668</v>
      </c>
      <c r="AH222" s="5">
        <v>1</v>
      </c>
      <c r="AI222" s="5">
        <v>1</v>
      </c>
      <c r="AJ222" s="9">
        <f>IF(AND(ISNUMBER(F222),ISNUMBER(G222),ISNUMBER(K222),ISNUMBER(L222)),ACOS(MIN(1,COS(RADIANS(90-F222))*COS(RADIANS(90-K222))+SIN(RADIANS(90-F222))*SIN(RADIANS(90-K222))*COS(RADIANS(G222-L222))))*6371,"N/A")</f>
        <v>210.96584476254208</v>
      </c>
      <c r="AK222" s="10">
        <f>IF(AND(ISNUMBER(F222),ISNUMBER(G222),ISNUMBER(K222),ISNUMBER(L222)),MOD(DEGREES(ATAN2(COS(RADIANS(K222))*SIN(RADIANS(F222))-SIN(RADIANS(K222))*COS(RADIANS(F222))*COS(RADIANS(G222-L222)),SIN(RADIANS(G222-L222))*COS(RADIANS(F222))))+360,360),"N/A")</f>
        <v>78.818336994992535</v>
      </c>
      <c r="AL222" s="10" t="str">
        <f>IF(AND(ISNUMBER(F222),ISNUMBER(G222),ISNUMBER(M222),ISNUMBER(N222)),ACOS(MIN(1,COS(RADIANS(90-F222))*COS(RADIANS(90-M222))+SIN(RADIANS(90-F222))*SIN(RADIANS(90-M222))*COS(RADIANS(G222-N222))))*6371,"N/A")</f>
        <v>N/A</v>
      </c>
      <c r="AM222" s="10" t="str">
        <f>IF(AND(ISNUMBER(F222),ISNUMBER(G222),ISNUMBER(M222),ISNUMBER(N222)),MOD(DEGREES(ATAN2(COS(RADIANS(M222))*SIN(RADIANS(F222))-SIN(RADIANS(M222))*COS(RADIANS(F222))*COS(RADIANS(G222-N222)),SIN(RADIANS(G222-N222))*COS(RADIANS(F222))))+360,360),"N/A")</f>
        <v>N/A</v>
      </c>
      <c r="AN222" s="2"/>
      <c r="AO222" s="2"/>
    </row>
    <row r="223" spans="1:41" x14ac:dyDescent="0.2">
      <c r="A223" s="4" t="s">
        <v>514</v>
      </c>
      <c r="B223" s="4" t="s">
        <v>124</v>
      </c>
      <c r="C223" s="5">
        <v>618</v>
      </c>
      <c r="D223" s="4" t="s">
        <v>70</v>
      </c>
      <c r="E223" s="4" t="s">
        <v>71</v>
      </c>
      <c r="F223" s="15">
        <v>42.259799999999998</v>
      </c>
      <c r="G223" s="15">
        <v>15.393800000000001</v>
      </c>
      <c r="H223" s="16">
        <v>-121</v>
      </c>
      <c r="I223" s="4" t="s">
        <v>210</v>
      </c>
      <c r="J223" s="4" t="s">
        <v>16</v>
      </c>
      <c r="K223" s="6">
        <v>40.820999999999998</v>
      </c>
      <c r="L223" s="6">
        <v>14.426</v>
      </c>
      <c r="M223" s="5" t="s">
        <v>340</v>
      </c>
      <c r="N223" s="5" t="s">
        <v>340</v>
      </c>
      <c r="O223" s="4" t="s">
        <v>374</v>
      </c>
      <c r="P223" s="5">
        <v>44</v>
      </c>
      <c r="Q223" s="5">
        <v>9999</v>
      </c>
      <c r="R223" s="4" t="s">
        <v>698</v>
      </c>
      <c r="S223" s="4" t="s">
        <v>1121</v>
      </c>
      <c r="T223" s="7">
        <v>3500</v>
      </c>
      <c r="U223" s="7">
        <v>3600</v>
      </c>
      <c r="V223" s="7">
        <v>3700</v>
      </c>
      <c r="W223" s="15" t="s">
        <v>1094</v>
      </c>
      <c r="X223" s="15" t="s">
        <v>1051</v>
      </c>
      <c r="Y223" s="7">
        <v>3225</v>
      </c>
      <c r="Z223" s="7">
        <v>140</v>
      </c>
      <c r="AA223" s="7" t="s">
        <v>340</v>
      </c>
      <c r="AB223" s="7" t="s">
        <v>340</v>
      </c>
      <c r="AC223" s="7">
        <v>4150</v>
      </c>
      <c r="AD223" s="7">
        <v>220</v>
      </c>
      <c r="AE223" s="7">
        <v>3414</v>
      </c>
      <c r="AF223" s="7" t="s">
        <v>939</v>
      </c>
      <c r="AG223" s="7" t="s">
        <v>340</v>
      </c>
      <c r="AH223" s="5">
        <v>1</v>
      </c>
      <c r="AI223" s="5">
        <v>1</v>
      </c>
      <c r="AJ223" s="9">
        <f>IF(AND(ISNUMBER(F223),ISNUMBER(G223),ISNUMBER(K223),ISNUMBER(L223)),ACOS(MIN(1,COS(RADIANS(90-F223))*COS(RADIANS(90-K223))+SIN(RADIANS(90-F223))*SIN(RADIANS(90-K223))*COS(RADIANS(G223-L223))))*6371,"N/A")</f>
        <v>179.11649158468109</v>
      </c>
      <c r="AK223" s="10">
        <f>IF(AND(ISNUMBER(F223),ISNUMBER(G223),ISNUMBER(K223),ISNUMBER(L223)),MOD(DEGREES(ATAN2(COS(RADIANS(K223))*SIN(RADIANS(F223))-SIN(RADIANS(K223))*COS(RADIANS(F223))*COS(RADIANS(G223-L223)),SIN(RADIANS(G223-L223))*COS(RADIANS(F223))))+360,360),"N/A")</f>
        <v>26.403928984194408</v>
      </c>
      <c r="AL223" s="10" t="str">
        <f>IF(AND(ISNUMBER(F223),ISNUMBER(G223),ISNUMBER(M223),ISNUMBER(N223)),ACOS(MIN(1,COS(RADIANS(90-F223))*COS(RADIANS(90-M223))+SIN(RADIANS(90-F223))*SIN(RADIANS(90-M223))*COS(RADIANS(G223-N223))))*6371,"N/A")</f>
        <v>N/A</v>
      </c>
      <c r="AM223" s="10" t="str">
        <f>IF(AND(ISNUMBER(F223),ISNUMBER(G223),ISNUMBER(M223),ISNUMBER(N223)),MOD(DEGREES(ATAN2(COS(RADIANS(M223))*SIN(RADIANS(F223))-SIN(RADIANS(M223))*COS(RADIANS(F223))*COS(RADIANS(G223-N223)),SIN(RADIANS(G223-N223))*COS(RADIANS(F223))))+360,360),"N/A")</f>
        <v>N/A</v>
      </c>
      <c r="AN223" s="2"/>
      <c r="AO223" s="2"/>
    </row>
    <row r="224" spans="1:41" x14ac:dyDescent="0.2">
      <c r="A224" s="4" t="s">
        <v>372</v>
      </c>
      <c r="B224" s="4" t="s">
        <v>86</v>
      </c>
      <c r="C224" s="5">
        <v>767</v>
      </c>
      <c r="D224" s="4" t="s">
        <v>70</v>
      </c>
      <c r="E224" s="4" t="s">
        <v>71</v>
      </c>
      <c r="F224" s="15">
        <v>41.722799999999999</v>
      </c>
      <c r="G224" s="15">
        <v>16.462199999999999</v>
      </c>
      <c r="H224" s="16">
        <v>-76</v>
      </c>
      <c r="I224" s="4" t="s">
        <v>210</v>
      </c>
      <c r="J224" s="4" t="s">
        <v>16</v>
      </c>
      <c r="K224" s="6">
        <v>40.820999999999998</v>
      </c>
      <c r="L224" s="6">
        <v>14.426</v>
      </c>
      <c r="M224" s="5" t="s">
        <v>340</v>
      </c>
      <c r="N224" s="5" t="s">
        <v>340</v>
      </c>
      <c r="O224" s="4" t="s">
        <v>374</v>
      </c>
      <c r="P224" s="5">
        <v>17</v>
      </c>
      <c r="Q224" s="5">
        <v>9999</v>
      </c>
      <c r="R224" s="4" t="s">
        <v>698</v>
      </c>
      <c r="S224" s="4" t="s">
        <v>1121</v>
      </c>
      <c r="T224" s="7">
        <v>3500</v>
      </c>
      <c r="U224" s="7">
        <v>3600</v>
      </c>
      <c r="V224" s="7">
        <v>3700</v>
      </c>
      <c r="W224" s="15" t="s">
        <v>1094</v>
      </c>
      <c r="X224" s="15" t="s">
        <v>1051</v>
      </c>
      <c r="Y224" s="7">
        <v>3225</v>
      </c>
      <c r="Z224" s="7">
        <v>140</v>
      </c>
      <c r="AA224" s="7" t="s">
        <v>340</v>
      </c>
      <c r="AB224" s="7" t="s">
        <v>340</v>
      </c>
      <c r="AC224" s="7">
        <v>4150</v>
      </c>
      <c r="AD224" s="7">
        <v>220</v>
      </c>
      <c r="AE224" s="7">
        <v>3414</v>
      </c>
      <c r="AF224" s="7" t="s">
        <v>939</v>
      </c>
      <c r="AG224" s="7" t="s">
        <v>340</v>
      </c>
      <c r="AH224" s="5">
        <v>1</v>
      </c>
      <c r="AI224" s="5">
        <v>1</v>
      </c>
      <c r="AJ224" s="9">
        <f>IF(AND(ISNUMBER(F224),ISNUMBER(G224),ISNUMBER(K224),ISNUMBER(L224)),ACOS(MIN(1,COS(RADIANS(90-F224))*COS(RADIANS(90-K224))+SIN(RADIANS(90-F224))*SIN(RADIANS(90-K224))*COS(RADIANS(G224-L224))))*6371,"N/A")</f>
        <v>197.50948087321069</v>
      </c>
      <c r="AK224" s="10">
        <f>IF(AND(ISNUMBER(F224),ISNUMBER(G224),ISNUMBER(K224),ISNUMBER(L224)),MOD(DEGREES(ATAN2(COS(RADIANS(K224))*SIN(RADIANS(F224))-SIN(RADIANS(K224))*COS(RADIANS(F224))*COS(RADIANS(G224-L224)),SIN(RADIANS(G224-L224))*COS(RADIANS(F224))))+360,360),"N/A")</f>
        <v>58.821937348305198</v>
      </c>
      <c r="AL224" s="10" t="str">
        <f>IF(AND(ISNUMBER(F224),ISNUMBER(G224),ISNUMBER(M224),ISNUMBER(N224)),ACOS(MIN(1,COS(RADIANS(90-F224))*COS(RADIANS(90-M224))+SIN(RADIANS(90-F224))*SIN(RADIANS(90-M224))*COS(RADIANS(G224-N224))))*6371,"N/A")</f>
        <v>N/A</v>
      </c>
      <c r="AM224" s="10" t="str">
        <f>IF(AND(ISNUMBER(F224),ISNUMBER(G224),ISNUMBER(M224),ISNUMBER(N224)),MOD(DEGREES(ATAN2(COS(RADIANS(M224))*SIN(RADIANS(F224))-SIN(RADIANS(M224))*COS(RADIANS(F224))*COS(RADIANS(G224-N224)),SIN(RADIANS(G224-N224))*COS(RADIANS(F224))))+360,360),"N/A")</f>
        <v>N/A</v>
      </c>
      <c r="AN224" s="2"/>
      <c r="AO224" s="2"/>
    </row>
    <row r="225" spans="1:41" x14ac:dyDescent="0.2">
      <c r="A225" s="4" t="s">
        <v>516</v>
      </c>
      <c r="B225" s="8" t="s">
        <v>125</v>
      </c>
      <c r="C225" s="20">
        <v>619</v>
      </c>
      <c r="D225" s="8" t="s">
        <v>70</v>
      </c>
      <c r="E225" s="8" t="s">
        <v>71</v>
      </c>
      <c r="F225" s="21">
        <v>42.232599999999998</v>
      </c>
      <c r="G225" s="21">
        <v>14.895099999999999</v>
      </c>
      <c r="H225" s="19">
        <v>-72</v>
      </c>
      <c r="I225" s="8" t="s">
        <v>210</v>
      </c>
      <c r="J225" s="4" t="s">
        <v>16</v>
      </c>
      <c r="K225" s="6">
        <v>40.820999999999998</v>
      </c>
      <c r="L225" s="6">
        <v>14.426</v>
      </c>
      <c r="M225" s="5" t="s">
        <v>340</v>
      </c>
      <c r="N225" s="5" t="s">
        <v>340</v>
      </c>
      <c r="O225" s="4" t="s">
        <v>297</v>
      </c>
      <c r="P225" s="5">
        <v>52</v>
      </c>
      <c r="Q225" s="5">
        <v>9999</v>
      </c>
      <c r="R225" s="4" t="s">
        <v>698</v>
      </c>
      <c r="S225" s="4" t="s">
        <v>1121</v>
      </c>
      <c r="T225" s="7">
        <v>2742</v>
      </c>
      <c r="U225" s="7">
        <v>2820</v>
      </c>
      <c r="V225" s="7">
        <v>2948</v>
      </c>
      <c r="W225" s="15" t="s">
        <v>1095</v>
      </c>
      <c r="X225" s="15" t="s">
        <v>1369</v>
      </c>
      <c r="Y225" s="7">
        <v>2710</v>
      </c>
      <c r="Z225" s="7">
        <v>60</v>
      </c>
      <c r="AA225" s="7" t="s">
        <v>340</v>
      </c>
      <c r="AB225" s="7" t="s">
        <v>340</v>
      </c>
      <c r="AC225" s="7">
        <v>4020</v>
      </c>
      <c r="AD225" s="7">
        <v>200</v>
      </c>
      <c r="AE225" s="7">
        <v>3414</v>
      </c>
      <c r="AF225" s="7" t="s">
        <v>939</v>
      </c>
      <c r="AG225" s="7" t="s">
        <v>340</v>
      </c>
      <c r="AH225" s="5">
        <v>1</v>
      </c>
      <c r="AI225" s="5">
        <v>1</v>
      </c>
      <c r="AJ225" s="9">
        <f>IF(AND(ISNUMBER(F225),ISNUMBER(G225),ISNUMBER(K225),ISNUMBER(L225)),ACOS(MIN(1,COS(RADIANS(90-F225))*COS(RADIANS(90-K225))+SIN(RADIANS(90-F225))*SIN(RADIANS(90-K225))*COS(RADIANS(G225-L225))))*6371,"N/A")</f>
        <v>161.74667761827686</v>
      </c>
      <c r="AK225" s="10">
        <f>IF(AND(ISNUMBER(F225),ISNUMBER(G225),ISNUMBER(K225),ISNUMBER(L225)),MOD(DEGREES(ATAN2(COS(RADIANS(K225))*SIN(RADIANS(F225))-SIN(RADIANS(K225))*COS(RADIANS(F225))*COS(RADIANS(G225-L225)),SIN(RADIANS(G225-L225))*COS(RADIANS(F225))))+360,360),"N/A")</f>
        <v>13.815791025946055</v>
      </c>
      <c r="AL225" s="10" t="str">
        <f>IF(AND(ISNUMBER(F225),ISNUMBER(G225),ISNUMBER(M225),ISNUMBER(N225)),ACOS(MIN(1,COS(RADIANS(90-F225))*COS(RADIANS(90-M225))+SIN(RADIANS(90-F225))*SIN(RADIANS(90-M225))*COS(RADIANS(G225-N225))))*6371,"N/A")</f>
        <v>N/A</v>
      </c>
      <c r="AM225" s="10" t="str">
        <f>IF(AND(ISNUMBER(F225),ISNUMBER(G225),ISNUMBER(M225),ISNUMBER(N225)),MOD(DEGREES(ATAN2(COS(RADIANS(M225))*SIN(RADIANS(F225))-SIN(RADIANS(M225))*COS(RADIANS(F225))*COS(RADIANS(G225-N225)),SIN(RADIANS(G225-N225))*COS(RADIANS(F225))))+360,360),"N/A")</f>
        <v>N/A</v>
      </c>
      <c r="AN225" s="2"/>
      <c r="AO225" s="2"/>
    </row>
    <row r="226" spans="1:41" x14ac:dyDescent="0.2">
      <c r="A226" s="4" t="s">
        <v>517</v>
      </c>
      <c r="B226" s="8" t="s">
        <v>125</v>
      </c>
      <c r="C226" s="20">
        <v>619</v>
      </c>
      <c r="D226" s="8" t="s">
        <v>70</v>
      </c>
      <c r="E226" s="8" t="s">
        <v>71</v>
      </c>
      <c r="F226" s="21">
        <v>42.232599999999998</v>
      </c>
      <c r="G226" s="21">
        <v>14.895099999999999</v>
      </c>
      <c r="H226" s="19">
        <v>-72</v>
      </c>
      <c r="I226" s="8" t="s">
        <v>210</v>
      </c>
      <c r="J226" s="4" t="s">
        <v>16</v>
      </c>
      <c r="K226" s="6">
        <v>40.820999999999998</v>
      </c>
      <c r="L226" s="6">
        <v>14.426</v>
      </c>
      <c r="M226" s="5" t="s">
        <v>340</v>
      </c>
      <c r="N226" s="5" t="s">
        <v>340</v>
      </c>
      <c r="O226" s="4" t="s">
        <v>298</v>
      </c>
      <c r="P226" s="5">
        <v>44</v>
      </c>
      <c r="Q226" s="5">
        <v>9999</v>
      </c>
      <c r="R226" s="4" t="s">
        <v>698</v>
      </c>
      <c r="S226" s="4" t="s">
        <v>1121</v>
      </c>
      <c r="T226" s="7">
        <v>2168</v>
      </c>
      <c r="U226" s="7">
        <v>2558</v>
      </c>
      <c r="V226" s="7">
        <v>2948</v>
      </c>
      <c r="W226" s="15" t="s">
        <v>947</v>
      </c>
      <c r="X226" s="15" t="s">
        <v>1222</v>
      </c>
      <c r="Y226" s="7" t="s">
        <v>340</v>
      </c>
      <c r="Z226" s="7" t="s">
        <v>340</v>
      </c>
      <c r="AA226" s="7" t="s">
        <v>340</v>
      </c>
      <c r="AB226" s="7" t="s">
        <v>340</v>
      </c>
      <c r="AC226" s="7">
        <v>3990</v>
      </c>
      <c r="AD226" s="7">
        <v>200</v>
      </c>
      <c r="AE226" s="7" t="s">
        <v>340</v>
      </c>
      <c r="AF226" s="7" t="s">
        <v>340</v>
      </c>
      <c r="AG226" s="7" t="s">
        <v>340</v>
      </c>
      <c r="AH226" s="5">
        <v>1</v>
      </c>
      <c r="AI226" s="5">
        <v>1</v>
      </c>
      <c r="AJ226" s="9">
        <f>IF(AND(ISNUMBER(F226),ISNUMBER(G226),ISNUMBER(K226),ISNUMBER(L226)),ACOS(MIN(1,COS(RADIANS(90-F226))*COS(RADIANS(90-K226))+SIN(RADIANS(90-F226))*SIN(RADIANS(90-K226))*COS(RADIANS(G226-L226))))*6371,"N/A")</f>
        <v>161.74667761827686</v>
      </c>
      <c r="AK226" s="10">
        <f>IF(AND(ISNUMBER(F226),ISNUMBER(G226),ISNUMBER(K226),ISNUMBER(L226)),MOD(DEGREES(ATAN2(COS(RADIANS(K226))*SIN(RADIANS(F226))-SIN(RADIANS(K226))*COS(RADIANS(F226))*COS(RADIANS(G226-L226)),SIN(RADIANS(G226-L226))*COS(RADIANS(F226))))+360,360),"N/A")</f>
        <v>13.815791025946055</v>
      </c>
      <c r="AL226" s="10" t="str">
        <f>IF(AND(ISNUMBER(F226),ISNUMBER(G226),ISNUMBER(M226),ISNUMBER(N226)),ACOS(MIN(1,COS(RADIANS(90-F226))*COS(RADIANS(90-M226))+SIN(RADIANS(90-F226))*SIN(RADIANS(90-M226))*COS(RADIANS(G226-N226))))*6371,"N/A")</f>
        <v>N/A</v>
      </c>
      <c r="AM226" s="10" t="str">
        <f>IF(AND(ISNUMBER(F226),ISNUMBER(G226),ISNUMBER(M226),ISNUMBER(N226)),MOD(DEGREES(ATAN2(COS(RADIANS(M226))*SIN(RADIANS(F226))-SIN(RADIANS(M226))*COS(RADIANS(F226))*COS(RADIANS(G226-N226)),SIN(RADIANS(G226-N226))*COS(RADIANS(F226))))+360,360),"N/A")</f>
        <v>N/A</v>
      </c>
      <c r="AN226" s="2"/>
      <c r="AO226" s="2"/>
    </row>
    <row r="227" spans="1:41" x14ac:dyDescent="0.2">
      <c r="A227" s="4" t="s">
        <v>373</v>
      </c>
      <c r="B227" s="4" t="s">
        <v>86</v>
      </c>
      <c r="C227" s="5">
        <v>767</v>
      </c>
      <c r="D227" s="4" t="s">
        <v>70</v>
      </c>
      <c r="E227" s="4" t="s">
        <v>71</v>
      </c>
      <c r="F227" s="15">
        <v>41.722799999999999</v>
      </c>
      <c r="G227" s="15">
        <v>16.462199999999999</v>
      </c>
      <c r="H227" s="16">
        <v>-76</v>
      </c>
      <c r="I227" s="4" t="s">
        <v>210</v>
      </c>
      <c r="J227" s="4" t="s">
        <v>16</v>
      </c>
      <c r="K227" s="6">
        <v>40.820999999999998</v>
      </c>
      <c r="L227" s="6">
        <v>14.426</v>
      </c>
      <c r="M227" s="5" t="s">
        <v>340</v>
      </c>
      <c r="N227" s="5" t="s">
        <v>340</v>
      </c>
      <c r="O227" s="4" t="s">
        <v>375</v>
      </c>
      <c r="P227" s="5">
        <v>30</v>
      </c>
      <c r="Q227" s="5">
        <v>9999</v>
      </c>
      <c r="R227" s="4" t="s">
        <v>698</v>
      </c>
      <c r="S227" s="4" t="s">
        <v>1121</v>
      </c>
      <c r="T227" s="7">
        <v>2168</v>
      </c>
      <c r="U227" s="7">
        <v>2558</v>
      </c>
      <c r="V227" s="7">
        <v>2948</v>
      </c>
      <c r="W227" s="15" t="s">
        <v>947</v>
      </c>
      <c r="X227" s="15" t="s">
        <v>946</v>
      </c>
      <c r="Y227" s="7" t="s">
        <v>340</v>
      </c>
      <c r="Z227" s="7" t="s">
        <v>340</v>
      </c>
      <c r="AA227" s="7" t="s">
        <v>340</v>
      </c>
      <c r="AB227" s="7" t="s">
        <v>340</v>
      </c>
      <c r="AC227" s="7">
        <v>3990</v>
      </c>
      <c r="AD227" s="7">
        <v>200</v>
      </c>
      <c r="AE227" s="7" t="s">
        <v>340</v>
      </c>
      <c r="AF227" s="7" t="s">
        <v>340</v>
      </c>
      <c r="AG227" s="7" t="s">
        <v>340</v>
      </c>
      <c r="AH227" s="5">
        <v>1</v>
      </c>
      <c r="AI227" s="5">
        <v>1</v>
      </c>
      <c r="AJ227" s="9">
        <f>IF(AND(ISNUMBER(F227),ISNUMBER(G227),ISNUMBER(K227),ISNUMBER(L227)),ACOS(MIN(1,COS(RADIANS(90-F227))*COS(RADIANS(90-K227))+SIN(RADIANS(90-F227))*SIN(RADIANS(90-K227))*COS(RADIANS(G227-L227))))*6371,"N/A")</f>
        <v>197.50948087321069</v>
      </c>
      <c r="AK227" s="10">
        <f>IF(AND(ISNUMBER(F227),ISNUMBER(G227),ISNUMBER(K227),ISNUMBER(L227)),MOD(DEGREES(ATAN2(COS(RADIANS(K227))*SIN(RADIANS(F227))-SIN(RADIANS(K227))*COS(RADIANS(F227))*COS(RADIANS(G227-L227)),SIN(RADIANS(G227-L227))*COS(RADIANS(F227))))+360,360),"N/A")</f>
        <v>58.821937348305198</v>
      </c>
      <c r="AL227" s="10" t="str">
        <f>IF(AND(ISNUMBER(F227),ISNUMBER(G227),ISNUMBER(M227),ISNUMBER(N227)),ACOS(MIN(1,COS(RADIANS(90-F227))*COS(RADIANS(90-M227))+SIN(RADIANS(90-F227))*SIN(RADIANS(90-M227))*COS(RADIANS(G227-N227))))*6371,"N/A")</f>
        <v>N/A</v>
      </c>
      <c r="AM227" s="10" t="str">
        <f>IF(AND(ISNUMBER(F227),ISNUMBER(G227),ISNUMBER(M227),ISNUMBER(N227)),MOD(DEGREES(ATAN2(COS(RADIANS(M227))*SIN(RADIANS(F227))-SIN(RADIANS(M227))*COS(RADIANS(F227))*COS(RADIANS(G227-N227)),SIN(RADIANS(G227-N227))*COS(RADIANS(F227))))+360,360),"N/A")</f>
        <v>N/A</v>
      </c>
      <c r="AN227" s="2"/>
      <c r="AO227" s="2"/>
    </row>
    <row r="228" spans="1:41" x14ac:dyDescent="0.2">
      <c r="A228" s="4" t="s">
        <v>512</v>
      </c>
      <c r="B228" s="4" t="s">
        <v>124</v>
      </c>
      <c r="C228" s="5">
        <v>618</v>
      </c>
      <c r="D228" s="4" t="s">
        <v>70</v>
      </c>
      <c r="E228" s="4" t="s">
        <v>71</v>
      </c>
      <c r="F228" s="15">
        <v>42.259799999999998</v>
      </c>
      <c r="G228" s="15">
        <v>15.393800000000001</v>
      </c>
      <c r="H228" s="16">
        <v>-121</v>
      </c>
      <c r="I228" s="4" t="s">
        <v>210</v>
      </c>
      <c r="J228" s="4" t="s">
        <v>16</v>
      </c>
      <c r="K228" s="6">
        <v>40.820999999999998</v>
      </c>
      <c r="L228" s="6">
        <v>14.426</v>
      </c>
      <c r="M228" s="5" t="s">
        <v>340</v>
      </c>
      <c r="N228" s="5" t="s">
        <v>340</v>
      </c>
      <c r="O228" s="4" t="s">
        <v>229</v>
      </c>
      <c r="P228" s="5">
        <v>42</v>
      </c>
      <c r="Q228" s="5">
        <v>9999</v>
      </c>
      <c r="R228" s="4" t="s">
        <v>698</v>
      </c>
      <c r="S228" s="4" t="s">
        <v>1121</v>
      </c>
      <c r="T228" s="12">
        <v>8723</v>
      </c>
      <c r="U228" s="7">
        <v>8866</v>
      </c>
      <c r="V228" s="12">
        <v>9009</v>
      </c>
      <c r="W228" s="15" t="s">
        <v>1091</v>
      </c>
      <c r="X228" s="21" t="s">
        <v>1360</v>
      </c>
      <c r="Y228" s="7">
        <v>8010</v>
      </c>
      <c r="Z228" s="7">
        <v>35</v>
      </c>
      <c r="AA228" s="7" t="s">
        <v>340</v>
      </c>
      <c r="AB228" s="7" t="s">
        <v>340</v>
      </c>
      <c r="AC228" s="7">
        <v>9680</v>
      </c>
      <c r="AD228" s="7">
        <v>480</v>
      </c>
      <c r="AE228" s="7" t="s">
        <v>340</v>
      </c>
      <c r="AF228" s="7" t="s">
        <v>340</v>
      </c>
      <c r="AG228" s="7" t="s">
        <v>340</v>
      </c>
      <c r="AH228" s="5">
        <v>1</v>
      </c>
      <c r="AI228" s="5">
        <v>1</v>
      </c>
      <c r="AJ228" s="9">
        <f>IF(AND(ISNUMBER(F228),ISNUMBER(G228),ISNUMBER(K228),ISNUMBER(L228)),ACOS(MIN(1,COS(RADIANS(90-F228))*COS(RADIANS(90-K228))+SIN(RADIANS(90-F228))*SIN(RADIANS(90-K228))*COS(RADIANS(G228-L228))))*6371,"N/A")</f>
        <v>179.11649158468109</v>
      </c>
      <c r="AK228" s="10">
        <f>IF(AND(ISNUMBER(F228),ISNUMBER(G228),ISNUMBER(K228),ISNUMBER(L228)),MOD(DEGREES(ATAN2(COS(RADIANS(K228))*SIN(RADIANS(F228))-SIN(RADIANS(K228))*COS(RADIANS(F228))*COS(RADIANS(G228-L228)),SIN(RADIANS(G228-L228))*COS(RADIANS(F228))))+360,360),"N/A")</f>
        <v>26.403928984194408</v>
      </c>
      <c r="AL228" s="10" t="str">
        <f>IF(AND(ISNUMBER(F228),ISNUMBER(G228),ISNUMBER(M228),ISNUMBER(N228)),ACOS(MIN(1,COS(RADIANS(90-F228))*COS(RADIANS(90-M228))+SIN(RADIANS(90-F228))*SIN(RADIANS(90-M228))*COS(RADIANS(G228-N228))))*6371,"N/A")</f>
        <v>N/A</v>
      </c>
      <c r="AM228" s="10" t="str">
        <f>IF(AND(ISNUMBER(F228),ISNUMBER(G228),ISNUMBER(M228),ISNUMBER(N228)),MOD(DEGREES(ATAN2(COS(RADIANS(M228))*SIN(RADIANS(F228))-SIN(RADIANS(M228))*COS(RADIANS(F228))*COS(RADIANS(G228-N228)),SIN(RADIANS(G228-N228))*COS(RADIANS(F228))))+360,360),"N/A")</f>
        <v>N/A</v>
      </c>
      <c r="AN228" s="2"/>
      <c r="AO228" s="2"/>
    </row>
    <row r="229" spans="1:41" x14ac:dyDescent="0.2">
      <c r="A229" s="4" t="s">
        <v>479</v>
      </c>
      <c r="B229" s="4" t="s">
        <v>117</v>
      </c>
      <c r="C229" s="5">
        <v>771</v>
      </c>
      <c r="D229" s="4" t="s">
        <v>70</v>
      </c>
      <c r="E229" s="4" t="s">
        <v>71</v>
      </c>
      <c r="F229" s="15">
        <v>42.584000000000003</v>
      </c>
      <c r="G229" s="15">
        <v>14.4923</v>
      </c>
      <c r="H229" s="16">
        <v>-104</v>
      </c>
      <c r="I229" s="4" t="s">
        <v>220</v>
      </c>
      <c r="J229" s="4" t="s">
        <v>15</v>
      </c>
      <c r="K229" s="6">
        <v>40.826999999999998</v>
      </c>
      <c r="L229" s="6">
        <v>14.138999999999999</v>
      </c>
      <c r="M229" s="5" t="s">
        <v>340</v>
      </c>
      <c r="N229" s="5" t="s">
        <v>340</v>
      </c>
      <c r="O229" s="4" t="s">
        <v>199</v>
      </c>
      <c r="P229" s="5">
        <v>38</v>
      </c>
      <c r="Q229" s="5">
        <v>9999</v>
      </c>
      <c r="R229" s="4" t="s">
        <v>698</v>
      </c>
      <c r="S229" s="4" t="s">
        <v>1121</v>
      </c>
      <c r="T229" s="7">
        <v>4483</v>
      </c>
      <c r="U229" s="7">
        <v>4540</v>
      </c>
      <c r="V229" s="7">
        <v>4627</v>
      </c>
      <c r="W229" s="15" t="s">
        <v>928</v>
      </c>
      <c r="X229" s="21" t="s">
        <v>1357</v>
      </c>
      <c r="Y229" s="7" t="s">
        <v>340</v>
      </c>
      <c r="Z229" s="7" t="s">
        <v>340</v>
      </c>
      <c r="AA229" s="7" t="s">
        <v>340</v>
      </c>
      <c r="AB229" s="7" t="s">
        <v>340</v>
      </c>
      <c r="AC229" s="7">
        <v>5390</v>
      </c>
      <c r="AD229" s="7">
        <v>270</v>
      </c>
      <c r="AE229" s="7">
        <v>4546</v>
      </c>
      <c r="AF229" s="7">
        <v>36</v>
      </c>
      <c r="AG229" s="7" t="s">
        <v>340</v>
      </c>
      <c r="AH229" s="5">
        <v>1</v>
      </c>
      <c r="AI229" s="5">
        <v>1</v>
      </c>
      <c r="AJ229" s="9">
        <f>IF(AND(ISNUMBER(F229),ISNUMBER(G229),ISNUMBER(K229),ISNUMBER(L229)),ACOS(MIN(1,COS(RADIANS(90-F229))*COS(RADIANS(90-K229))+SIN(RADIANS(90-F229))*SIN(RADIANS(90-K229))*COS(RADIANS(G229-L229))))*6371,"N/A")</f>
        <v>197.55812957564726</v>
      </c>
      <c r="AK229" s="10">
        <f>IF(AND(ISNUMBER(F229),ISNUMBER(G229),ISNUMBER(K229),ISNUMBER(L229)),MOD(DEGREES(ATAN2(COS(RADIANS(K229))*SIN(RADIANS(F229))-SIN(RADIANS(K229))*COS(RADIANS(F229))*COS(RADIANS(G229-L229)),SIN(RADIANS(G229-L229))*COS(RADIANS(F229))))+360,360),"N/A")</f>
        <v>8.4204296654730229</v>
      </c>
      <c r="AL229" s="10" t="str">
        <f>IF(AND(ISNUMBER(F229),ISNUMBER(G229),ISNUMBER(M229),ISNUMBER(N229)),ACOS(MIN(1,COS(RADIANS(90-F229))*COS(RADIANS(90-M229))+SIN(RADIANS(90-F229))*SIN(RADIANS(90-M229))*COS(RADIANS(G229-N229))))*6371,"N/A")</f>
        <v>N/A</v>
      </c>
      <c r="AM229" s="10" t="str">
        <f>IF(AND(ISNUMBER(F229),ISNUMBER(G229),ISNUMBER(M229),ISNUMBER(N229)),MOD(DEGREES(ATAN2(COS(RADIANS(M229))*SIN(RADIANS(F229))-SIN(RADIANS(M229))*COS(RADIANS(F229))*COS(RADIANS(G229-N229)),SIN(RADIANS(G229-N229))*COS(RADIANS(F229))))+360,360),"N/A")</f>
        <v>N/A</v>
      </c>
      <c r="AN229" s="2"/>
      <c r="AO229" s="2"/>
    </row>
    <row r="230" spans="1:41" x14ac:dyDescent="0.2">
      <c r="A230" s="4" t="s">
        <v>197</v>
      </c>
      <c r="B230" s="4" t="s">
        <v>200</v>
      </c>
      <c r="C230" s="5">
        <v>598</v>
      </c>
      <c r="D230" s="4" t="s">
        <v>32</v>
      </c>
      <c r="E230" s="4" t="s">
        <v>51</v>
      </c>
      <c r="F230" s="15">
        <v>42.988399999999999</v>
      </c>
      <c r="G230" s="15">
        <v>10.8955</v>
      </c>
      <c r="H230" s="16">
        <v>157</v>
      </c>
      <c r="I230" s="4" t="s">
        <v>198</v>
      </c>
      <c r="J230" s="8" t="s">
        <v>15</v>
      </c>
      <c r="K230" s="6">
        <v>40.826999999999998</v>
      </c>
      <c r="L230" s="6">
        <v>14.138999999999999</v>
      </c>
      <c r="M230" s="5" t="s">
        <v>340</v>
      </c>
      <c r="N230" s="5" t="s">
        <v>340</v>
      </c>
      <c r="O230" s="4" t="s">
        <v>199</v>
      </c>
      <c r="P230" s="5">
        <v>1</v>
      </c>
      <c r="Q230" s="5">
        <v>9999</v>
      </c>
      <c r="R230" s="4" t="s">
        <v>41</v>
      </c>
      <c r="S230" s="4" t="s">
        <v>1130</v>
      </c>
      <c r="T230" s="7">
        <v>4483</v>
      </c>
      <c r="U230" s="7">
        <v>4540</v>
      </c>
      <c r="V230" s="7">
        <v>4627</v>
      </c>
      <c r="W230" s="15" t="s">
        <v>928</v>
      </c>
      <c r="X230" s="21" t="s">
        <v>1357</v>
      </c>
      <c r="Y230" s="7" t="s">
        <v>340</v>
      </c>
      <c r="Z230" s="7" t="s">
        <v>340</v>
      </c>
      <c r="AA230" s="7" t="s">
        <v>340</v>
      </c>
      <c r="AB230" s="7" t="s">
        <v>340</v>
      </c>
      <c r="AC230" s="7">
        <v>5390</v>
      </c>
      <c r="AD230" s="7">
        <v>270</v>
      </c>
      <c r="AE230" s="7">
        <v>4546</v>
      </c>
      <c r="AF230" s="7">
        <v>36</v>
      </c>
      <c r="AG230" s="7" t="s">
        <v>340</v>
      </c>
      <c r="AH230" s="5">
        <v>1</v>
      </c>
      <c r="AI230" s="5">
        <v>1</v>
      </c>
      <c r="AJ230" s="9">
        <f>IF(AND(ISNUMBER(F230),ISNUMBER(G230),ISNUMBER(K230),ISNUMBER(L230)),ACOS(MIN(1,COS(RADIANS(90-F230))*COS(RADIANS(90-K230))+SIN(RADIANS(90-F230))*SIN(RADIANS(90-K230))*COS(RADIANS(G230-L230))))*6371,"N/A")</f>
        <v>360.23428288442381</v>
      </c>
      <c r="AK230" s="10">
        <f>IF(AND(ISNUMBER(F230),ISNUMBER(G230),ISNUMBER(K230),ISNUMBER(L230)),MOD(DEGREES(ATAN2(COS(RADIANS(K230))*SIN(RADIANS(F230))-SIN(RADIANS(K230))*COS(RADIANS(F230))*COS(RADIANS(G230-L230)),SIN(RADIANS(G230-L230))*COS(RADIANS(F230))))+360,360),"N/A")</f>
        <v>312.91566055203157</v>
      </c>
      <c r="AL230" s="10" t="str">
        <f>IF(AND(ISNUMBER(F230),ISNUMBER(G230),ISNUMBER(M230),ISNUMBER(N230)),ACOS(MIN(1,COS(RADIANS(90-F230))*COS(RADIANS(90-M230))+SIN(RADIANS(90-F230))*SIN(RADIANS(90-M230))*COS(RADIANS(G230-N230))))*6371,"N/A")</f>
        <v>N/A</v>
      </c>
      <c r="AM230" s="10" t="str">
        <f>IF(AND(ISNUMBER(F230),ISNUMBER(G230),ISNUMBER(M230),ISNUMBER(N230)),MOD(DEGREES(ATAN2(COS(RADIANS(M230))*SIN(RADIANS(F230))-SIN(RADIANS(M230))*COS(RADIANS(F230))*COS(RADIANS(G230-N230)),SIN(RADIANS(G230-N230))*COS(RADIANS(F230))))+360,360),"N/A")</f>
        <v>N/A</v>
      </c>
      <c r="AN230" s="2"/>
      <c r="AO230" s="2"/>
    </row>
    <row r="231" spans="1:41" x14ac:dyDescent="0.2">
      <c r="A231" s="4" t="s">
        <v>193</v>
      </c>
      <c r="B231" s="4" t="s">
        <v>200</v>
      </c>
      <c r="C231" s="5">
        <v>598</v>
      </c>
      <c r="D231" s="4" t="s">
        <v>32</v>
      </c>
      <c r="E231" s="4" t="s">
        <v>51</v>
      </c>
      <c r="F231" s="15">
        <v>42.988399999999999</v>
      </c>
      <c r="G231" s="15">
        <v>10.8955</v>
      </c>
      <c r="H231" s="16">
        <v>157</v>
      </c>
      <c r="I231" s="4" t="s">
        <v>198</v>
      </c>
      <c r="J231" s="4" t="s">
        <v>15</v>
      </c>
      <c r="K231" s="6">
        <v>40.826999999999998</v>
      </c>
      <c r="L231" s="6">
        <v>14.138999999999999</v>
      </c>
      <c r="M231" s="5" t="s">
        <v>340</v>
      </c>
      <c r="N231" s="5" t="s">
        <v>340</v>
      </c>
      <c r="O231" s="4" t="s">
        <v>445</v>
      </c>
      <c r="P231" s="5">
        <v>1</v>
      </c>
      <c r="Q231" s="5">
        <v>9999</v>
      </c>
      <c r="R231" s="4" t="s">
        <v>41</v>
      </c>
      <c r="S231" s="4" t="s">
        <v>1130</v>
      </c>
      <c r="T231" s="7">
        <v>15346</v>
      </c>
      <c r="U231" s="7">
        <v>15644</v>
      </c>
      <c r="V231" s="7">
        <v>15941</v>
      </c>
      <c r="W231" s="15" t="s">
        <v>1091</v>
      </c>
      <c r="X231" s="15" t="s">
        <v>1364</v>
      </c>
      <c r="Y231" s="7">
        <v>13070</v>
      </c>
      <c r="Z231" s="7">
        <v>90</v>
      </c>
      <c r="AA231" s="7" t="s">
        <v>340</v>
      </c>
      <c r="AB231" s="7" t="s">
        <v>340</v>
      </c>
      <c r="AC231" s="7" t="s">
        <v>340</v>
      </c>
      <c r="AD231" s="7" t="s">
        <v>340</v>
      </c>
      <c r="AE231" s="7" t="s">
        <v>340</v>
      </c>
      <c r="AF231" s="7" t="s">
        <v>340</v>
      </c>
      <c r="AG231" s="7" t="s">
        <v>340</v>
      </c>
      <c r="AH231" s="5">
        <v>1</v>
      </c>
      <c r="AI231" s="5">
        <v>1</v>
      </c>
      <c r="AJ231" s="9">
        <f>IF(AND(ISNUMBER(F231),ISNUMBER(G231),ISNUMBER(K231),ISNUMBER(L231)),ACOS(MIN(1,COS(RADIANS(90-F231))*COS(RADIANS(90-K231))+SIN(RADIANS(90-F231))*SIN(RADIANS(90-K231))*COS(RADIANS(G231-L231))))*6371,"N/A")</f>
        <v>360.23428288442381</v>
      </c>
      <c r="AK231" s="10">
        <f>IF(AND(ISNUMBER(F231),ISNUMBER(G231),ISNUMBER(K231),ISNUMBER(L231)),MOD(DEGREES(ATAN2(COS(RADIANS(K231))*SIN(RADIANS(F231))-SIN(RADIANS(K231))*COS(RADIANS(F231))*COS(RADIANS(G231-L231)),SIN(RADIANS(G231-L231))*COS(RADIANS(F231))))+360,360),"N/A")</f>
        <v>312.91566055203157</v>
      </c>
      <c r="AL231" s="10" t="str">
        <f>IF(AND(ISNUMBER(F231),ISNUMBER(G231),ISNUMBER(M231),ISNUMBER(N231)),ACOS(MIN(1,COS(RADIANS(90-F231))*COS(RADIANS(90-M231))+SIN(RADIANS(90-F231))*SIN(RADIANS(90-M231))*COS(RADIANS(G231-N231))))*6371,"N/A")</f>
        <v>N/A</v>
      </c>
      <c r="AM231" s="10" t="str">
        <f>IF(AND(ISNUMBER(F231),ISNUMBER(G231),ISNUMBER(M231),ISNUMBER(N231)),MOD(DEGREES(ATAN2(COS(RADIANS(M231))*SIN(RADIANS(F231))-SIN(RADIANS(M231))*COS(RADIANS(F231))*COS(RADIANS(G231-N231)),SIN(RADIANS(G231-N231))*COS(RADIANS(F231))))+360,360),"N/A")</f>
        <v>N/A</v>
      </c>
      <c r="AN231" s="2"/>
      <c r="AO231" s="2"/>
    </row>
    <row r="232" spans="1:41" x14ac:dyDescent="0.2">
      <c r="A232" s="4" t="s">
        <v>195</v>
      </c>
      <c r="B232" s="4" t="s">
        <v>200</v>
      </c>
      <c r="C232" s="5">
        <v>598</v>
      </c>
      <c r="D232" s="4" t="s">
        <v>32</v>
      </c>
      <c r="E232" s="4" t="s">
        <v>51</v>
      </c>
      <c r="F232" s="15">
        <v>42.988399999999999</v>
      </c>
      <c r="G232" s="15">
        <v>10.8955</v>
      </c>
      <c r="H232" s="16">
        <v>157</v>
      </c>
      <c r="I232" s="4" t="s">
        <v>198</v>
      </c>
      <c r="J232" s="4" t="s">
        <v>15</v>
      </c>
      <c r="K232" s="6">
        <v>40.826999999999998</v>
      </c>
      <c r="L232" s="6">
        <v>14.138999999999999</v>
      </c>
      <c r="M232" s="5" t="s">
        <v>340</v>
      </c>
      <c r="N232" s="5" t="s">
        <v>340</v>
      </c>
      <c r="O232" s="4" t="s">
        <v>20</v>
      </c>
      <c r="P232" s="5">
        <v>1</v>
      </c>
      <c r="Q232" s="5">
        <v>9999</v>
      </c>
      <c r="R232" s="4" t="s">
        <v>41</v>
      </c>
      <c r="S232" s="4" t="s">
        <v>1130</v>
      </c>
      <c r="T232" s="7">
        <v>13761</v>
      </c>
      <c r="U232" s="7">
        <v>14029</v>
      </c>
      <c r="V232" s="7">
        <v>14356</v>
      </c>
      <c r="W232" s="15" t="s">
        <v>933</v>
      </c>
      <c r="X232" s="15" t="s">
        <v>1358</v>
      </c>
      <c r="Y232" s="7" t="s">
        <v>340</v>
      </c>
      <c r="Z232" s="7" t="s">
        <v>340</v>
      </c>
      <c r="AA232" s="7" t="s">
        <v>340</v>
      </c>
      <c r="AB232" s="7" t="s">
        <v>340</v>
      </c>
      <c r="AC232" s="7">
        <v>14120</v>
      </c>
      <c r="AD232" s="7">
        <v>710</v>
      </c>
      <c r="AE232" s="7">
        <v>14037</v>
      </c>
      <c r="AF232" s="7">
        <v>156</v>
      </c>
      <c r="AG232" s="7" t="s">
        <v>340</v>
      </c>
      <c r="AH232" s="5">
        <v>1</v>
      </c>
      <c r="AI232" s="5">
        <v>1</v>
      </c>
      <c r="AJ232" s="9">
        <f>IF(AND(ISNUMBER(F232),ISNUMBER(G232),ISNUMBER(K232),ISNUMBER(L232)),ACOS(MIN(1,COS(RADIANS(90-F232))*COS(RADIANS(90-K232))+SIN(RADIANS(90-F232))*SIN(RADIANS(90-K232))*COS(RADIANS(G232-L232))))*6371,"N/A")</f>
        <v>360.23428288442381</v>
      </c>
      <c r="AK232" s="10">
        <f>IF(AND(ISNUMBER(F232),ISNUMBER(G232),ISNUMBER(K232),ISNUMBER(L232)),MOD(DEGREES(ATAN2(COS(RADIANS(K232))*SIN(RADIANS(F232))-SIN(RADIANS(K232))*COS(RADIANS(F232))*COS(RADIANS(G232-L232)),SIN(RADIANS(G232-L232))*COS(RADIANS(F232))))+360,360),"N/A")</f>
        <v>312.91566055203157</v>
      </c>
      <c r="AL232" s="10" t="str">
        <f>IF(AND(ISNUMBER(F232),ISNUMBER(G232),ISNUMBER(M232),ISNUMBER(N232)),ACOS(MIN(1,COS(RADIANS(90-F232))*COS(RADIANS(90-M232))+SIN(RADIANS(90-F232))*SIN(RADIANS(90-M232))*COS(RADIANS(G232-N232))))*6371,"N/A")</f>
        <v>N/A</v>
      </c>
      <c r="AM232" s="10" t="str">
        <f>IF(AND(ISNUMBER(F232),ISNUMBER(G232),ISNUMBER(M232),ISNUMBER(N232)),MOD(DEGREES(ATAN2(COS(RADIANS(M232))*SIN(RADIANS(F232))-SIN(RADIANS(M232))*COS(RADIANS(F232))*COS(RADIANS(G232-N232)),SIN(RADIANS(G232-N232))*COS(RADIANS(F232))))+360,360),"N/A")</f>
        <v>N/A</v>
      </c>
      <c r="AN232" s="2"/>
      <c r="AO232" s="2"/>
    </row>
    <row r="233" spans="1:41" x14ac:dyDescent="0.2">
      <c r="A233" s="4" t="s">
        <v>196</v>
      </c>
      <c r="B233" s="4" t="s">
        <v>200</v>
      </c>
      <c r="C233" s="5">
        <v>598</v>
      </c>
      <c r="D233" s="4" t="s">
        <v>32</v>
      </c>
      <c r="E233" s="4" t="s">
        <v>51</v>
      </c>
      <c r="F233" s="15">
        <v>42.988399999999999</v>
      </c>
      <c r="G233" s="15">
        <v>10.8955</v>
      </c>
      <c r="H233" s="16">
        <v>157</v>
      </c>
      <c r="I233" s="4" t="s">
        <v>198</v>
      </c>
      <c r="J233" s="8" t="s">
        <v>15</v>
      </c>
      <c r="K233" s="6">
        <v>40.826999999999998</v>
      </c>
      <c r="L233" s="6">
        <v>14.138999999999999</v>
      </c>
      <c r="M233" s="5" t="s">
        <v>340</v>
      </c>
      <c r="N233" s="5" t="s">
        <v>340</v>
      </c>
      <c r="O233" s="4" t="s">
        <v>232</v>
      </c>
      <c r="P233" s="5">
        <v>1</v>
      </c>
      <c r="Q233" s="5">
        <v>9999</v>
      </c>
      <c r="R233" s="4" t="s">
        <v>41</v>
      </c>
      <c r="S233" s="4" t="s">
        <v>1121</v>
      </c>
      <c r="T233" s="7">
        <v>11860</v>
      </c>
      <c r="U233" s="7">
        <v>12096</v>
      </c>
      <c r="V233" s="7">
        <v>12396</v>
      </c>
      <c r="W233" s="15" t="s">
        <v>928</v>
      </c>
      <c r="X233" s="21" t="s">
        <v>1357</v>
      </c>
      <c r="Y233" s="7" t="s">
        <v>340</v>
      </c>
      <c r="Z233" s="7" t="s">
        <v>340</v>
      </c>
      <c r="AA233" s="7" t="s">
        <v>340</v>
      </c>
      <c r="AB233" s="7" t="s">
        <v>340</v>
      </c>
      <c r="AC233" s="7">
        <v>12180</v>
      </c>
      <c r="AD233" s="7">
        <v>610</v>
      </c>
      <c r="AE233" s="7">
        <v>12104</v>
      </c>
      <c r="AF233" s="7">
        <v>141</v>
      </c>
      <c r="AG233" s="7" t="s">
        <v>340</v>
      </c>
      <c r="AH233" s="5">
        <v>1</v>
      </c>
      <c r="AI233" s="5">
        <v>1</v>
      </c>
      <c r="AJ233" s="9">
        <f>IF(AND(ISNUMBER(F233),ISNUMBER(G233),ISNUMBER(K233),ISNUMBER(L233)),ACOS(MIN(1,COS(RADIANS(90-F233))*COS(RADIANS(90-K233))+SIN(RADIANS(90-F233))*SIN(RADIANS(90-K233))*COS(RADIANS(G233-L233))))*6371,"N/A")</f>
        <v>360.23428288442381</v>
      </c>
      <c r="AK233" s="10">
        <f>IF(AND(ISNUMBER(F233),ISNUMBER(G233),ISNUMBER(K233),ISNUMBER(L233)),MOD(DEGREES(ATAN2(COS(RADIANS(K233))*SIN(RADIANS(F233))-SIN(RADIANS(K233))*COS(RADIANS(F233))*COS(RADIANS(G233-L233)),SIN(RADIANS(G233-L233))*COS(RADIANS(F233))))+360,360),"N/A")</f>
        <v>312.91566055203157</v>
      </c>
      <c r="AL233" s="10" t="str">
        <f>IF(AND(ISNUMBER(F233),ISNUMBER(G233),ISNUMBER(M233),ISNUMBER(N233)),ACOS(MIN(1,COS(RADIANS(90-F233))*COS(RADIANS(90-M233))+SIN(RADIANS(90-F233))*SIN(RADIANS(90-M233))*COS(RADIANS(G233-N233))))*6371,"N/A")</f>
        <v>N/A</v>
      </c>
      <c r="AM233" s="10" t="str">
        <f>IF(AND(ISNUMBER(F233),ISNUMBER(G233),ISNUMBER(M233),ISNUMBER(N233)),MOD(DEGREES(ATAN2(COS(RADIANS(M233))*SIN(RADIANS(F233))-SIN(RADIANS(M233))*COS(RADIANS(F233))*COS(RADIANS(G233-N233)),SIN(RADIANS(G233-N233))*COS(RADIANS(F233))))+360,360),"N/A")</f>
        <v>N/A</v>
      </c>
      <c r="AN233" s="2"/>
      <c r="AO233" s="2"/>
    </row>
    <row r="234" spans="1:41" x14ac:dyDescent="0.2">
      <c r="A234" s="4" t="s">
        <v>194</v>
      </c>
      <c r="B234" s="4" t="s">
        <v>200</v>
      </c>
      <c r="C234" s="5">
        <v>598</v>
      </c>
      <c r="D234" s="4" t="s">
        <v>32</v>
      </c>
      <c r="E234" s="4" t="s">
        <v>51</v>
      </c>
      <c r="F234" s="15">
        <v>42.988399999999999</v>
      </c>
      <c r="G234" s="15">
        <v>10.8955</v>
      </c>
      <c r="H234" s="16">
        <v>157</v>
      </c>
      <c r="I234" s="4" t="s">
        <v>198</v>
      </c>
      <c r="J234" s="4" t="s">
        <v>15</v>
      </c>
      <c r="K234" s="6">
        <v>40.826999999999998</v>
      </c>
      <c r="L234" s="6">
        <v>14.138999999999999</v>
      </c>
      <c r="M234" s="5" t="s">
        <v>340</v>
      </c>
      <c r="N234" s="5" t="s">
        <v>340</v>
      </c>
      <c r="O234" s="4" t="s">
        <v>548</v>
      </c>
      <c r="P234" s="5">
        <v>1</v>
      </c>
      <c r="Q234" s="5">
        <v>9999</v>
      </c>
      <c r="R234" s="4" t="s">
        <v>41</v>
      </c>
      <c r="S234" s="4" t="s">
        <v>1130</v>
      </c>
      <c r="T234" s="7">
        <v>14670</v>
      </c>
      <c r="U234" s="7">
        <v>14967</v>
      </c>
      <c r="V234" s="7">
        <v>15227</v>
      </c>
      <c r="W234" s="15" t="s">
        <v>1352</v>
      </c>
      <c r="X234" s="21" t="s">
        <v>1050</v>
      </c>
      <c r="Y234" s="7">
        <v>12870</v>
      </c>
      <c r="Z234" s="7">
        <v>100</v>
      </c>
      <c r="AA234" s="7" t="s">
        <v>340</v>
      </c>
      <c r="AB234" s="7" t="s">
        <v>340</v>
      </c>
      <c r="AC234" s="7">
        <v>14560</v>
      </c>
      <c r="AD234" s="7">
        <v>730</v>
      </c>
      <c r="AE234" s="7">
        <v>14967</v>
      </c>
      <c r="AF234" s="7" t="s">
        <v>950</v>
      </c>
      <c r="AG234" s="7" t="s">
        <v>340</v>
      </c>
      <c r="AH234" s="5">
        <v>1</v>
      </c>
      <c r="AI234" s="5">
        <v>1</v>
      </c>
      <c r="AJ234" s="9">
        <f>IF(AND(ISNUMBER(F234),ISNUMBER(G234),ISNUMBER(K234),ISNUMBER(L234)),ACOS(MIN(1,COS(RADIANS(90-F234))*COS(RADIANS(90-K234))+SIN(RADIANS(90-F234))*SIN(RADIANS(90-K234))*COS(RADIANS(G234-L234))))*6371,"N/A")</f>
        <v>360.23428288442381</v>
      </c>
      <c r="AK234" s="10">
        <f>IF(AND(ISNUMBER(F234),ISNUMBER(G234),ISNUMBER(K234),ISNUMBER(L234)),MOD(DEGREES(ATAN2(COS(RADIANS(K234))*SIN(RADIANS(F234))-SIN(RADIANS(K234))*COS(RADIANS(F234))*COS(RADIANS(G234-L234)),SIN(RADIANS(G234-L234))*COS(RADIANS(F234))))+360,360),"N/A")</f>
        <v>312.91566055203157</v>
      </c>
      <c r="AL234" s="10" t="str">
        <f>IF(AND(ISNUMBER(F234),ISNUMBER(G234),ISNUMBER(M234),ISNUMBER(N234)),ACOS(MIN(1,COS(RADIANS(90-F234))*COS(RADIANS(90-M234))+SIN(RADIANS(90-F234))*SIN(RADIANS(90-M234))*COS(RADIANS(G234-N234))))*6371,"N/A")</f>
        <v>N/A</v>
      </c>
      <c r="AM234" s="10" t="str">
        <f>IF(AND(ISNUMBER(F234),ISNUMBER(G234),ISNUMBER(M234),ISNUMBER(N234)),MOD(DEGREES(ATAN2(COS(RADIANS(M234))*SIN(RADIANS(F234))-SIN(RADIANS(M234))*COS(RADIANS(F234))*COS(RADIANS(G234-N234)),SIN(RADIANS(G234-N234))*COS(RADIANS(F234))))+360,360),"N/A")</f>
        <v>N/A</v>
      </c>
      <c r="AN234" s="2"/>
      <c r="AO234" s="2"/>
    </row>
    <row r="235" spans="1:41" x14ac:dyDescent="0.2">
      <c r="A235" s="4" t="s">
        <v>693</v>
      </c>
      <c r="B235" s="4" t="s">
        <v>697</v>
      </c>
      <c r="C235" s="5" t="s">
        <v>340</v>
      </c>
      <c r="D235" s="4" t="s">
        <v>32</v>
      </c>
      <c r="E235" s="4" t="s">
        <v>696</v>
      </c>
      <c r="F235" s="15">
        <v>42</v>
      </c>
      <c r="G235" s="15">
        <v>13.56</v>
      </c>
      <c r="H235" s="16">
        <v>650</v>
      </c>
      <c r="I235" s="4" t="s">
        <v>700</v>
      </c>
      <c r="J235" s="4" t="s">
        <v>15</v>
      </c>
      <c r="K235" s="6">
        <v>40.826999999999998</v>
      </c>
      <c r="L235" s="6">
        <v>14.138999999999999</v>
      </c>
      <c r="M235" s="5" t="s">
        <v>340</v>
      </c>
      <c r="N235" s="5" t="s">
        <v>340</v>
      </c>
      <c r="O235" s="4" t="s">
        <v>699</v>
      </c>
      <c r="P235" s="5" t="s">
        <v>340</v>
      </c>
      <c r="Q235" s="5" t="s">
        <v>340</v>
      </c>
      <c r="R235" s="4" t="s">
        <v>184</v>
      </c>
      <c r="S235" s="4" t="s">
        <v>1131</v>
      </c>
      <c r="T235" s="7">
        <v>8700</v>
      </c>
      <c r="U235" s="7">
        <v>9200</v>
      </c>
      <c r="V235" s="7">
        <v>9700</v>
      </c>
      <c r="W235" s="15" t="s">
        <v>900</v>
      </c>
      <c r="X235" s="15" t="s">
        <v>1331</v>
      </c>
      <c r="Y235" s="7" t="s">
        <v>340</v>
      </c>
      <c r="Z235" s="7" t="s">
        <v>340</v>
      </c>
      <c r="AA235" s="7" t="s">
        <v>340</v>
      </c>
      <c r="AB235" s="7" t="s">
        <v>340</v>
      </c>
      <c r="AC235" s="7" t="s">
        <v>340</v>
      </c>
      <c r="AD235" s="7" t="s">
        <v>340</v>
      </c>
      <c r="AE235" s="7">
        <v>9200</v>
      </c>
      <c r="AF235" s="7">
        <v>500</v>
      </c>
      <c r="AG235" s="7" t="s">
        <v>340</v>
      </c>
      <c r="AH235" s="5">
        <v>1</v>
      </c>
      <c r="AI235" s="5">
        <v>3</v>
      </c>
      <c r="AJ235" s="9">
        <f>IF(AND(ISNUMBER(F235),ISNUMBER(G235),ISNUMBER(K235),ISNUMBER(L235)),ACOS(MIN(1,COS(RADIANS(90-F235))*COS(RADIANS(90-K235))+SIN(RADIANS(90-F235))*SIN(RADIANS(90-K235))*COS(RADIANS(G235-L235))))*6371,"N/A")</f>
        <v>139.08066963420259</v>
      </c>
      <c r="AK235" s="10">
        <f>IF(AND(ISNUMBER(F235),ISNUMBER(G235),ISNUMBER(K235),ISNUMBER(L235)),MOD(DEGREES(ATAN2(COS(RADIANS(K235))*SIN(RADIANS(F235))-SIN(RADIANS(K235))*COS(RADIANS(F235))*COS(RADIANS(G235-L235)),SIN(RADIANS(G235-L235))*COS(RADIANS(F235))))+360,360),"N/A")</f>
        <v>339.87735659127384</v>
      </c>
      <c r="AL235" s="10" t="str">
        <f>IF(AND(ISNUMBER(F235),ISNUMBER(G235),ISNUMBER(M235),ISNUMBER(N235)),ACOS(MIN(1,COS(RADIANS(90-F235))*COS(RADIANS(90-M235))+SIN(RADIANS(90-F235))*SIN(RADIANS(90-M235))*COS(RADIANS(G235-N235))))*6371,"N/A")</f>
        <v>N/A</v>
      </c>
      <c r="AM235" s="10" t="str">
        <f>IF(AND(ISNUMBER(F235),ISNUMBER(G235),ISNUMBER(M235),ISNUMBER(N235)),MOD(DEGREES(ATAN2(COS(RADIANS(M235))*SIN(RADIANS(F235))-SIN(RADIANS(M235))*COS(RADIANS(F235))*COS(RADIANS(G235-N235)),SIN(RADIANS(G235-N235))*COS(RADIANS(F235))))+360,360),"N/A")</f>
        <v>N/A</v>
      </c>
      <c r="AN235" s="2"/>
      <c r="AO235" s="2"/>
    </row>
    <row r="236" spans="1:41" x14ac:dyDescent="0.2">
      <c r="A236" s="4" t="s">
        <v>694</v>
      </c>
      <c r="B236" s="4" t="s">
        <v>697</v>
      </c>
      <c r="C236" s="5" t="s">
        <v>340</v>
      </c>
      <c r="D236" s="4" t="s">
        <v>32</v>
      </c>
      <c r="E236" s="4" t="s">
        <v>696</v>
      </c>
      <c r="F236" s="15">
        <v>42</v>
      </c>
      <c r="G236" s="15">
        <v>13.56</v>
      </c>
      <c r="H236" s="16">
        <v>650</v>
      </c>
      <c r="I236" s="4" t="s">
        <v>700</v>
      </c>
      <c r="J236" s="4" t="s">
        <v>15</v>
      </c>
      <c r="K236" s="6">
        <v>40.826999999999998</v>
      </c>
      <c r="L236" s="6">
        <v>14.138999999999999</v>
      </c>
      <c r="M236" s="5" t="s">
        <v>340</v>
      </c>
      <c r="N236" s="5" t="s">
        <v>340</v>
      </c>
      <c r="O236" s="4" t="s">
        <v>20</v>
      </c>
      <c r="P236" s="5" t="s">
        <v>340</v>
      </c>
      <c r="Q236" s="5" t="s">
        <v>340</v>
      </c>
      <c r="R236" s="4" t="s">
        <v>41</v>
      </c>
      <c r="S236" s="4" t="s">
        <v>1121</v>
      </c>
      <c r="T236" s="7">
        <v>13761</v>
      </c>
      <c r="U236" s="7">
        <v>14029</v>
      </c>
      <c r="V236" s="7">
        <v>14356</v>
      </c>
      <c r="W236" s="15" t="s">
        <v>933</v>
      </c>
      <c r="X236" s="15" t="s">
        <v>1381</v>
      </c>
      <c r="Y236" s="7" t="s">
        <v>340</v>
      </c>
      <c r="Z236" s="7" t="s">
        <v>340</v>
      </c>
      <c r="AA236" s="7" t="s">
        <v>340</v>
      </c>
      <c r="AB236" s="7" t="s">
        <v>340</v>
      </c>
      <c r="AC236" s="7">
        <v>14120</v>
      </c>
      <c r="AD236" s="7">
        <v>710</v>
      </c>
      <c r="AE236" s="7">
        <v>14037</v>
      </c>
      <c r="AF236" s="7">
        <v>156</v>
      </c>
      <c r="AG236" s="7" t="s">
        <v>340</v>
      </c>
      <c r="AH236" s="5">
        <v>1</v>
      </c>
      <c r="AI236" s="5">
        <v>1</v>
      </c>
      <c r="AJ236" s="9">
        <f>IF(AND(ISNUMBER(F236),ISNUMBER(G236),ISNUMBER(K236),ISNUMBER(L236)),ACOS(MIN(1,COS(RADIANS(90-F236))*COS(RADIANS(90-K236))+SIN(RADIANS(90-F236))*SIN(RADIANS(90-K236))*COS(RADIANS(G236-L236))))*6371,"N/A")</f>
        <v>139.08066963420259</v>
      </c>
      <c r="AK236" s="10">
        <f>IF(AND(ISNUMBER(F236),ISNUMBER(G236),ISNUMBER(K236),ISNUMBER(L236)),MOD(DEGREES(ATAN2(COS(RADIANS(K236))*SIN(RADIANS(F236))-SIN(RADIANS(K236))*COS(RADIANS(F236))*COS(RADIANS(G236-L236)),SIN(RADIANS(G236-L236))*COS(RADIANS(F236))))+360,360),"N/A")</f>
        <v>339.87735659127384</v>
      </c>
      <c r="AL236" s="10" t="str">
        <f>IF(AND(ISNUMBER(F236),ISNUMBER(G236),ISNUMBER(M236),ISNUMBER(N236)),ACOS(MIN(1,COS(RADIANS(90-F236))*COS(RADIANS(90-M236))+SIN(RADIANS(90-F236))*SIN(RADIANS(90-M236))*COS(RADIANS(G236-N236))))*6371,"N/A")</f>
        <v>N/A</v>
      </c>
      <c r="AM236" s="10" t="str">
        <f>IF(AND(ISNUMBER(F236),ISNUMBER(G236),ISNUMBER(M236),ISNUMBER(N236)),MOD(DEGREES(ATAN2(COS(RADIANS(M236))*SIN(RADIANS(F236))-SIN(RADIANS(M236))*COS(RADIANS(F236))*COS(RADIANS(G236-N236)),SIN(RADIANS(G236-N236))*COS(RADIANS(F236))))+360,360),"N/A")</f>
        <v>N/A</v>
      </c>
      <c r="AN236" s="2"/>
      <c r="AO236" s="2"/>
    </row>
    <row r="237" spans="1:41" x14ac:dyDescent="0.2">
      <c r="A237" s="4" t="s">
        <v>701</v>
      </c>
      <c r="B237" s="4" t="s">
        <v>697</v>
      </c>
      <c r="C237" s="5" t="s">
        <v>340</v>
      </c>
      <c r="D237" s="4" t="s">
        <v>32</v>
      </c>
      <c r="E237" s="4" t="s">
        <v>696</v>
      </c>
      <c r="F237" s="15">
        <v>42</v>
      </c>
      <c r="G237" s="15">
        <v>13.56</v>
      </c>
      <c r="H237" s="16">
        <v>650</v>
      </c>
      <c r="I237" s="4" t="s">
        <v>700</v>
      </c>
      <c r="J237" s="4" t="s">
        <v>42</v>
      </c>
      <c r="K237" s="6">
        <v>37.747999999999998</v>
      </c>
      <c r="L237" s="6">
        <v>14.999000000000001</v>
      </c>
      <c r="M237" s="5" t="s">
        <v>340</v>
      </c>
      <c r="N237" s="5" t="s">
        <v>340</v>
      </c>
      <c r="O237" s="4" t="s">
        <v>702</v>
      </c>
      <c r="P237" s="5" t="s">
        <v>340</v>
      </c>
      <c r="Q237" s="5" t="s">
        <v>340</v>
      </c>
      <c r="R237" s="4" t="s">
        <v>41</v>
      </c>
      <c r="S237" s="4" t="s">
        <v>1121</v>
      </c>
      <c r="T237" s="7">
        <v>17600</v>
      </c>
      <c r="U237" s="7">
        <v>17900</v>
      </c>
      <c r="V237" s="7">
        <v>18200</v>
      </c>
      <c r="W237" s="15" t="s">
        <v>900</v>
      </c>
      <c r="X237" s="15" t="s">
        <v>1331</v>
      </c>
      <c r="Y237" s="7" t="s">
        <v>340</v>
      </c>
      <c r="Z237" s="7" t="s">
        <v>340</v>
      </c>
      <c r="AA237" s="7" t="s">
        <v>340</v>
      </c>
      <c r="AB237" s="7" t="s">
        <v>340</v>
      </c>
      <c r="AC237" s="7" t="s">
        <v>340</v>
      </c>
      <c r="AD237" s="7" t="s">
        <v>340</v>
      </c>
      <c r="AE237" s="7">
        <v>17900</v>
      </c>
      <c r="AF237" s="7">
        <v>300</v>
      </c>
      <c r="AG237" s="7" t="s">
        <v>340</v>
      </c>
      <c r="AH237" s="5">
        <v>1</v>
      </c>
      <c r="AI237" s="5">
        <v>1</v>
      </c>
      <c r="AJ237" s="9">
        <f>IF(AND(ISNUMBER(F237),ISNUMBER(G237),ISNUMBER(K237),ISNUMBER(L237)),ACOS(MIN(1,COS(RADIANS(90-F237))*COS(RADIANS(90-K237))+SIN(RADIANS(90-F237))*SIN(RADIANS(90-K237))*COS(RADIANS(G237-L237))))*6371,"N/A")</f>
        <v>488.46574907244963</v>
      </c>
      <c r="AK237" s="10">
        <f>IF(AND(ISNUMBER(F237),ISNUMBER(G237),ISNUMBER(K237),ISNUMBER(L237)),MOD(DEGREES(ATAN2(COS(RADIANS(K237))*SIN(RADIANS(F237))-SIN(RADIANS(K237))*COS(RADIANS(F237))*COS(RADIANS(G237-L237)),SIN(RADIANS(G237-L237))*COS(RADIANS(F237))))+360,360),"N/A")</f>
        <v>345.89797929489532</v>
      </c>
      <c r="AL237" s="10" t="str">
        <f>IF(AND(ISNUMBER(F237),ISNUMBER(G237),ISNUMBER(M237),ISNUMBER(N237)),ACOS(MIN(1,COS(RADIANS(90-F237))*COS(RADIANS(90-M237))+SIN(RADIANS(90-F237))*SIN(RADIANS(90-M237))*COS(RADIANS(G237-N237))))*6371,"N/A")</f>
        <v>N/A</v>
      </c>
      <c r="AM237" s="10" t="str">
        <f>IF(AND(ISNUMBER(F237),ISNUMBER(G237),ISNUMBER(M237),ISNUMBER(N237)),MOD(DEGREES(ATAN2(COS(RADIANS(M237))*SIN(RADIANS(F237))-SIN(RADIANS(M237))*COS(RADIANS(F237))*COS(RADIANS(G237-N237)),SIN(RADIANS(G237-N237))*COS(RADIANS(F237))))+360,360),"N/A")</f>
        <v>N/A</v>
      </c>
      <c r="AN237" s="2"/>
      <c r="AO237" s="2"/>
    </row>
    <row r="238" spans="1:41" x14ac:dyDescent="0.2">
      <c r="A238" s="4" t="s">
        <v>695</v>
      </c>
      <c r="B238" s="4" t="s">
        <v>697</v>
      </c>
      <c r="C238" s="5" t="s">
        <v>340</v>
      </c>
      <c r="D238" s="4" t="s">
        <v>32</v>
      </c>
      <c r="E238" s="4" t="s">
        <v>696</v>
      </c>
      <c r="F238" s="15">
        <v>42</v>
      </c>
      <c r="G238" s="15">
        <v>13.56</v>
      </c>
      <c r="H238" s="16">
        <v>650</v>
      </c>
      <c r="I238" s="4" t="s">
        <v>700</v>
      </c>
      <c r="J238" s="4" t="s">
        <v>42</v>
      </c>
      <c r="K238" s="6">
        <v>37.747999999999998</v>
      </c>
      <c r="L238" s="6">
        <v>14.999000000000001</v>
      </c>
      <c r="M238" s="5" t="s">
        <v>340</v>
      </c>
      <c r="N238" s="5" t="s">
        <v>340</v>
      </c>
      <c r="O238" s="4" t="s">
        <v>874</v>
      </c>
      <c r="P238" s="5" t="s">
        <v>340</v>
      </c>
      <c r="Q238" s="5" t="s">
        <v>340</v>
      </c>
      <c r="R238" s="4" t="s">
        <v>41</v>
      </c>
      <c r="S238" s="4" t="s">
        <v>1121</v>
      </c>
      <c r="T238" s="7">
        <v>17048</v>
      </c>
      <c r="U238" s="7">
        <v>17294</v>
      </c>
      <c r="V238" s="7">
        <v>17717</v>
      </c>
      <c r="W238" s="15" t="s">
        <v>934</v>
      </c>
      <c r="X238" s="15" t="s">
        <v>1365</v>
      </c>
      <c r="Y238" s="7">
        <v>14650</v>
      </c>
      <c r="Z238" s="7">
        <v>90</v>
      </c>
      <c r="AA238" s="7" t="s">
        <v>340</v>
      </c>
      <c r="AB238" s="7" t="s">
        <v>340</v>
      </c>
      <c r="AC238" s="7">
        <v>16440</v>
      </c>
      <c r="AD238" s="7">
        <v>820</v>
      </c>
      <c r="AE238" s="7">
        <v>17304</v>
      </c>
      <c r="AF238" s="7">
        <v>152</v>
      </c>
      <c r="AG238" s="7" t="s">
        <v>340</v>
      </c>
      <c r="AH238" s="5">
        <v>1</v>
      </c>
      <c r="AI238" s="5">
        <v>1</v>
      </c>
      <c r="AJ238" s="9">
        <f>IF(AND(ISNUMBER(F238),ISNUMBER(G238),ISNUMBER(K238),ISNUMBER(L238)),ACOS(MIN(1,COS(RADIANS(90-F238))*COS(RADIANS(90-K238))+SIN(RADIANS(90-F238))*SIN(RADIANS(90-K238))*COS(RADIANS(G238-L238))))*6371,"N/A")</f>
        <v>488.46574907244963</v>
      </c>
      <c r="AK238" s="10">
        <f>IF(AND(ISNUMBER(F238),ISNUMBER(G238),ISNUMBER(K238),ISNUMBER(L238)),MOD(DEGREES(ATAN2(COS(RADIANS(K238))*SIN(RADIANS(F238))-SIN(RADIANS(K238))*COS(RADIANS(F238))*COS(RADIANS(G238-L238)),SIN(RADIANS(G238-L238))*COS(RADIANS(F238))))+360,360),"N/A")</f>
        <v>345.89797929489532</v>
      </c>
      <c r="AL238" s="10" t="str">
        <f>IF(AND(ISNUMBER(F238),ISNUMBER(G238),ISNUMBER(M238),ISNUMBER(N238)),ACOS(MIN(1,COS(RADIANS(90-F238))*COS(RADIANS(90-M238))+SIN(RADIANS(90-F238))*SIN(RADIANS(90-M238))*COS(RADIANS(G238-N238))))*6371,"N/A")</f>
        <v>N/A</v>
      </c>
      <c r="AM238" s="10" t="str">
        <f>IF(AND(ISNUMBER(F238),ISNUMBER(G238),ISNUMBER(M238),ISNUMBER(N238)),MOD(DEGREES(ATAN2(COS(RADIANS(M238))*SIN(RADIANS(F238))-SIN(RADIANS(M238))*COS(RADIANS(F238))*COS(RADIANS(G238-N238)),SIN(RADIANS(G238-N238))*COS(RADIANS(F238))))+360,360),"N/A")</f>
        <v>N/A</v>
      </c>
      <c r="AN238" s="2"/>
      <c r="AO238" s="2"/>
    </row>
    <row r="239" spans="1:41" x14ac:dyDescent="0.2">
      <c r="A239" s="4" t="s">
        <v>433</v>
      </c>
      <c r="B239" s="4" t="s">
        <v>435</v>
      </c>
      <c r="C239" s="5">
        <v>518</v>
      </c>
      <c r="D239" s="4" t="s">
        <v>29</v>
      </c>
      <c r="E239" s="4" t="s">
        <v>434</v>
      </c>
      <c r="F239" s="15">
        <v>39.102499999999999</v>
      </c>
      <c r="G239" s="15">
        <v>26.3309</v>
      </c>
      <c r="H239" s="16">
        <v>323</v>
      </c>
      <c r="I239" s="4" t="s">
        <v>180</v>
      </c>
      <c r="J239" s="4" t="s">
        <v>241</v>
      </c>
      <c r="K239" s="6">
        <v>36.404000000000003</v>
      </c>
      <c r="L239" s="6">
        <v>25.396000000000001</v>
      </c>
      <c r="M239" s="5" t="s">
        <v>340</v>
      </c>
      <c r="N239" s="5" t="s">
        <v>340</v>
      </c>
      <c r="O239" s="4" t="s">
        <v>246</v>
      </c>
      <c r="P239" s="5" t="s">
        <v>340</v>
      </c>
      <c r="Q239" s="5">
        <v>9999</v>
      </c>
      <c r="R239" s="4" t="s">
        <v>41</v>
      </c>
      <c r="S239" s="4" t="s">
        <v>1132</v>
      </c>
      <c r="T239" s="7">
        <v>21353</v>
      </c>
      <c r="U239" s="7">
        <v>22170</v>
      </c>
      <c r="V239" s="7">
        <v>22575</v>
      </c>
      <c r="W239" s="15" t="s">
        <v>933</v>
      </c>
      <c r="X239" s="15" t="s">
        <v>1358</v>
      </c>
      <c r="Y239" s="7" t="s">
        <v>340</v>
      </c>
      <c r="Z239" s="7" t="s">
        <v>340</v>
      </c>
      <c r="AA239" s="7" t="s">
        <v>340</v>
      </c>
      <c r="AB239" s="7" t="s">
        <v>340</v>
      </c>
      <c r="AC239" s="7" t="s">
        <v>340</v>
      </c>
      <c r="AD239" s="7" t="s">
        <v>340</v>
      </c>
      <c r="AE239" s="7">
        <v>22101</v>
      </c>
      <c r="AF239" s="7">
        <v>308</v>
      </c>
      <c r="AG239" s="7" t="s">
        <v>340</v>
      </c>
      <c r="AH239" s="5">
        <v>1</v>
      </c>
      <c r="AI239" s="5">
        <v>1</v>
      </c>
      <c r="AJ239" s="9">
        <f>IF(AND(ISNUMBER(F239),ISNUMBER(G239),ISNUMBER(K239),ISNUMBER(L239)),ACOS(MIN(1,COS(RADIANS(90-F239))*COS(RADIANS(90-K239))+SIN(RADIANS(90-F239))*SIN(RADIANS(90-K239))*COS(RADIANS(G239-L239))))*6371,"N/A")</f>
        <v>311.10756358564834</v>
      </c>
      <c r="AK239" s="10">
        <f>IF(AND(ISNUMBER(F239),ISNUMBER(G239),ISNUMBER(K239),ISNUMBER(L239)),MOD(DEGREES(ATAN2(COS(RADIANS(K239))*SIN(RADIANS(F239))-SIN(RADIANS(K239))*COS(RADIANS(F239))*COS(RADIANS(G239-L239)),SIN(RADIANS(G239-L239))*COS(RADIANS(F239))))+360,360),"N/A")</f>
        <v>15.034294021379594</v>
      </c>
      <c r="AL239" s="10" t="str">
        <f>IF(AND(ISNUMBER(F239),ISNUMBER(G239),ISNUMBER(M239),ISNUMBER(N239)),ACOS(MIN(1,COS(RADIANS(90-F239))*COS(RADIANS(90-M239))+SIN(RADIANS(90-F239))*SIN(RADIANS(90-M239))*COS(RADIANS(G239-N239))))*6371,"N/A")</f>
        <v>N/A</v>
      </c>
      <c r="AM239" s="10" t="str">
        <f>IF(AND(ISNUMBER(F239),ISNUMBER(G239),ISNUMBER(M239),ISNUMBER(N239)),MOD(DEGREES(ATAN2(COS(RADIANS(M239))*SIN(RADIANS(F239))-SIN(RADIANS(M239))*COS(RADIANS(F239))*COS(RADIANS(G239-N239)),SIN(RADIANS(G239-N239))*COS(RADIANS(F239))))+360,360),"N/A")</f>
        <v>N/A</v>
      </c>
      <c r="AN239" s="2"/>
      <c r="AO239" s="2"/>
    </row>
    <row r="240" spans="1:41" x14ac:dyDescent="0.2">
      <c r="A240" s="4" t="s">
        <v>535</v>
      </c>
      <c r="B240" s="4" t="s">
        <v>126</v>
      </c>
      <c r="C240" s="5" t="s">
        <v>340</v>
      </c>
      <c r="D240" s="4" t="s">
        <v>70</v>
      </c>
      <c r="E240" s="4" t="s">
        <v>71</v>
      </c>
      <c r="F240" s="15">
        <v>41.620699999999999</v>
      </c>
      <c r="G240" s="15">
        <v>17.473299999999998</v>
      </c>
      <c r="H240" s="16">
        <v>-1126</v>
      </c>
      <c r="I240" s="4" t="s">
        <v>543</v>
      </c>
      <c r="J240" s="4" t="s">
        <v>15</v>
      </c>
      <c r="K240" s="6">
        <v>40.826999999999998</v>
      </c>
      <c r="L240" s="6">
        <v>14.138999999999999</v>
      </c>
      <c r="M240" s="5" t="s">
        <v>340</v>
      </c>
      <c r="N240" s="5" t="s">
        <v>340</v>
      </c>
      <c r="O240" s="4" t="s">
        <v>925</v>
      </c>
      <c r="P240" s="5">
        <v>10</v>
      </c>
      <c r="Q240" s="5" t="s">
        <v>1024</v>
      </c>
      <c r="R240" s="4" t="s">
        <v>184</v>
      </c>
      <c r="S240" s="4" t="s">
        <v>1121</v>
      </c>
      <c r="T240" s="7">
        <v>12844</v>
      </c>
      <c r="U240" s="7">
        <v>12994</v>
      </c>
      <c r="V240" s="7">
        <v>13098</v>
      </c>
      <c r="W240" s="15" t="s">
        <v>928</v>
      </c>
      <c r="X240" s="21" t="s">
        <v>1368</v>
      </c>
      <c r="Y240" s="7" t="s">
        <v>340</v>
      </c>
      <c r="Z240" s="7" t="s">
        <v>340</v>
      </c>
      <c r="AA240" s="7" t="s">
        <v>340</v>
      </c>
      <c r="AB240" s="7" t="s">
        <v>340</v>
      </c>
      <c r="AC240" s="7">
        <v>12640</v>
      </c>
      <c r="AD240" s="7">
        <v>630</v>
      </c>
      <c r="AE240" s="7">
        <v>12988</v>
      </c>
      <c r="AF240" s="7">
        <v>67</v>
      </c>
      <c r="AG240" s="7" t="s">
        <v>340</v>
      </c>
      <c r="AH240" s="5">
        <v>1</v>
      </c>
      <c r="AI240" s="5">
        <v>1</v>
      </c>
      <c r="AJ240" s="9">
        <f>IF(AND(ISNUMBER(F240),ISNUMBER(G240),ISNUMBER(K240),ISNUMBER(L240)),ACOS(MIN(1,COS(RADIANS(90-F240))*COS(RADIANS(90-K240))+SIN(RADIANS(90-F240))*SIN(RADIANS(90-K240))*COS(RADIANS(G240-L240))))*6371,"N/A")</f>
        <v>292.47079934979007</v>
      </c>
      <c r="AK240" s="10">
        <f>IF(AND(ISNUMBER(F240),ISNUMBER(G240),ISNUMBER(K240),ISNUMBER(L240)),MOD(DEGREES(ATAN2(COS(RADIANS(K240))*SIN(RADIANS(F240))-SIN(RADIANS(K240))*COS(RADIANS(F240))*COS(RADIANS(G240-L240)),SIN(RADIANS(G240-L240))*COS(RADIANS(F240))))+360,360),"N/A")</f>
        <v>71.344146106215931</v>
      </c>
      <c r="AL240" s="10" t="str">
        <f>IF(AND(ISNUMBER(F240),ISNUMBER(G240),ISNUMBER(M240),ISNUMBER(N240)),ACOS(MIN(1,COS(RADIANS(90-F240))*COS(RADIANS(90-M240))+SIN(RADIANS(90-F240))*SIN(RADIANS(90-M240))*COS(RADIANS(G240-N240))))*6371,"N/A")</f>
        <v>N/A</v>
      </c>
      <c r="AM240" s="10" t="str">
        <f>IF(AND(ISNUMBER(F240),ISNUMBER(G240),ISNUMBER(M240),ISNUMBER(N240)),MOD(DEGREES(ATAN2(COS(RADIANS(M240))*SIN(RADIANS(F240))-SIN(RADIANS(M240))*COS(RADIANS(F240))*COS(RADIANS(G240-N240)),SIN(RADIANS(G240-N240))*COS(RADIANS(F240))))+360,360),"N/A")</f>
        <v>N/A</v>
      </c>
      <c r="AN240" s="2"/>
      <c r="AO240" s="2"/>
    </row>
    <row r="241" spans="1:41" x14ac:dyDescent="0.2">
      <c r="A241" s="4" t="s">
        <v>537</v>
      </c>
      <c r="B241" s="4" t="s">
        <v>126</v>
      </c>
      <c r="C241" s="5" t="s">
        <v>340</v>
      </c>
      <c r="D241" s="4" t="s">
        <v>70</v>
      </c>
      <c r="E241" s="4" t="s">
        <v>71</v>
      </c>
      <c r="F241" s="15">
        <v>41.620699999999999</v>
      </c>
      <c r="G241" s="15">
        <v>17.473299999999998</v>
      </c>
      <c r="H241" s="16">
        <v>-1126</v>
      </c>
      <c r="I241" s="4" t="s">
        <v>543</v>
      </c>
      <c r="J241" s="4" t="s">
        <v>15</v>
      </c>
      <c r="K241" s="6">
        <v>40.826999999999998</v>
      </c>
      <c r="L241" s="6">
        <v>14.138999999999999</v>
      </c>
      <c r="M241" s="5" t="s">
        <v>340</v>
      </c>
      <c r="N241" s="5" t="s">
        <v>340</v>
      </c>
      <c r="O241" s="4" t="s">
        <v>548</v>
      </c>
      <c r="P241" s="5">
        <v>19</v>
      </c>
      <c r="Q241" s="5" t="s">
        <v>1027</v>
      </c>
      <c r="R241" s="4" t="s">
        <v>184</v>
      </c>
      <c r="S241" s="4" t="s">
        <v>1121</v>
      </c>
      <c r="T241" s="7">
        <v>14670</v>
      </c>
      <c r="U241" s="7">
        <v>14967</v>
      </c>
      <c r="V241" s="7">
        <v>15227</v>
      </c>
      <c r="W241" s="15" t="s">
        <v>1354</v>
      </c>
      <c r="X241" s="21" t="s">
        <v>1050</v>
      </c>
      <c r="Y241" s="7">
        <v>12870</v>
      </c>
      <c r="Z241" s="7">
        <v>100</v>
      </c>
      <c r="AA241" s="7" t="s">
        <v>340</v>
      </c>
      <c r="AB241" s="7" t="s">
        <v>340</v>
      </c>
      <c r="AC241" s="7">
        <v>14560</v>
      </c>
      <c r="AD241" s="7">
        <v>730</v>
      </c>
      <c r="AE241" s="7">
        <v>14967</v>
      </c>
      <c r="AF241" s="7" t="s">
        <v>950</v>
      </c>
      <c r="AG241" s="7" t="s">
        <v>340</v>
      </c>
      <c r="AH241" s="5">
        <v>1</v>
      </c>
      <c r="AI241" s="5">
        <v>1</v>
      </c>
      <c r="AJ241" s="9">
        <f>IF(AND(ISNUMBER(F241),ISNUMBER(G241),ISNUMBER(K241),ISNUMBER(L241)),ACOS(MIN(1,COS(RADIANS(90-F241))*COS(RADIANS(90-K241))+SIN(RADIANS(90-F241))*SIN(RADIANS(90-K241))*COS(RADIANS(G241-L241))))*6371,"N/A")</f>
        <v>292.47079934979007</v>
      </c>
      <c r="AK241" s="10">
        <f>IF(AND(ISNUMBER(F241),ISNUMBER(G241),ISNUMBER(K241),ISNUMBER(L241)),MOD(DEGREES(ATAN2(COS(RADIANS(K241))*SIN(RADIANS(F241))-SIN(RADIANS(K241))*COS(RADIANS(F241))*COS(RADIANS(G241-L241)),SIN(RADIANS(G241-L241))*COS(RADIANS(F241))))+360,360),"N/A")</f>
        <v>71.344146106215931</v>
      </c>
      <c r="AL241" s="10" t="str">
        <f>IF(AND(ISNUMBER(F241),ISNUMBER(G241),ISNUMBER(M241),ISNUMBER(N241)),ACOS(MIN(1,COS(RADIANS(90-F241))*COS(RADIANS(90-M241))+SIN(RADIANS(90-F241))*SIN(RADIANS(90-M241))*COS(RADIANS(G241-N241))))*6371,"N/A")</f>
        <v>N/A</v>
      </c>
      <c r="AM241" s="10" t="str">
        <f>IF(AND(ISNUMBER(F241),ISNUMBER(G241),ISNUMBER(M241),ISNUMBER(N241)),MOD(DEGREES(ATAN2(COS(RADIANS(M241))*SIN(RADIANS(F241))-SIN(RADIANS(M241))*COS(RADIANS(F241))*COS(RADIANS(G241-N241)),SIN(RADIANS(G241-N241))*COS(RADIANS(F241))))+360,360),"N/A")</f>
        <v>N/A</v>
      </c>
      <c r="AN241" s="2"/>
      <c r="AO241" s="2"/>
    </row>
    <row r="242" spans="1:41" x14ac:dyDescent="0.2">
      <c r="A242" s="4" t="s">
        <v>530</v>
      </c>
      <c r="B242" s="4" t="s">
        <v>126</v>
      </c>
      <c r="C242" s="5" t="s">
        <v>340</v>
      </c>
      <c r="D242" s="4" t="s">
        <v>70</v>
      </c>
      <c r="E242" s="4" t="s">
        <v>71</v>
      </c>
      <c r="F242" s="15">
        <v>41.620699999999999</v>
      </c>
      <c r="G242" s="15">
        <v>17.473299999999998</v>
      </c>
      <c r="H242" s="16">
        <v>-1126</v>
      </c>
      <c r="I242" s="4" t="s">
        <v>543</v>
      </c>
      <c r="J242" s="4" t="s">
        <v>150</v>
      </c>
      <c r="K242" s="6">
        <v>40.729999999999997</v>
      </c>
      <c r="L242" s="6">
        <v>13.897</v>
      </c>
      <c r="M242" s="5" t="s">
        <v>340</v>
      </c>
      <c r="N242" s="5" t="s">
        <v>340</v>
      </c>
      <c r="O242" s="4" t="s">
        <v>545</v>
      </c>
      <c r="P242" s="5">
        <v>3</v>
      </c>
      <c r="Q242" s="5" t="s">
        <v>1035</v>
      </c>
      <c r="R242" s="4" t="s">
        <v>184</v>
      </c>
      <c r="S242" s="4" t="s">
        <v>1121</v>
      </c>
      <c r="T242" s="7">
        <v>4960</v>
      </c>
      <c r="U242" s="7">
        <v>5504</v>
      </c>
      <c r="V242" s="7">
        <v>5940</v>
      </c>
      <c r="W242" s="15" t="s">
        <v>1112</v>
      </c>
      <c r="X242" s="15" t="s">
        <v>1370</v>
      </c>
      <c r="Y242" s="7">
        <v>4790</v>
      </c>
      <c r="Z242" s="7">
        <v>200</v>
      </c>
      <c r="AA242" s="7" t="s">
        <v>340</v>
      </c>
      <c r="AB242" s="7" t="s">
        <v>340</v>
      </c>
      <c r="AC242" s="7" t="s">
        <v>340</v>
      </c>
      <c r="AD242" s="7" t="s">
        <v>340</v>
      </c>
      <c r="AE242" s="7">
        <v>5275</v>
      </c>
      <c r="AF242" s="7">
        <v>465</v>
      </c>
      <c r="AG242" s="7" t="s">
        <v>340</v>
      </c>
      <c r="AH242" s="5">
        <v>1</v>
      </c>
      <c r="AI242" s="5">
        <v>1</v>
      </c>
      <c r="AJ242" s="9">
        <f>IF(AND(ISNUMBER(F242),ISNUMBER(G242),ISNUMBER(K242),ISNUMBER(L242)),ACOS(MIN(1,COS(RADIANS(90-F242))*COS(RADIANS(90-K242))+SIN(RADIANS(90-F242))*SIN(RADIANS(90-K242))*COS(RADIANS(G242-L242))))*6371,"N/A")</f>
        <v>315.25349924904174</v>
      </c>
      <c r="AK242" s="10">
        <f>IF(AND(ISNUMBER(F242),ISNUMBER(G242),ISNUMBER(K242),ISNUMBER(L242)),MOD(DEGREES(ATAN2(COS(RADIANS(K242))*SIN(RADIANS(F242))-SIN(RADIANS(K242))*COS(RADIANS(F242))*COS(RADIANS(G242-L242)),SIN(RADIANS(G242-L242))*COS(RADIANS(F242))))+360,360),"N/A")</f>
        <v>70.51962474082768</v>
      </c>
      <c r="AL242" s="10" t="str">
        <f>IF(AND(ISNUMBER(F242),ISNUMBER(G242),ISNUMBER(M242),ISNUMBER(N242)),ACOS(MIN(1,COS(RADIANS(90-F242))*COS(RADIANS(90-M242))+SIN(RADIANS(90-F242))*SIN(RADIANS(90-M242))*COS(RADIANS(G242-N242))))*6371,"N/A")</f>
        <v>N/A</v>
      </c>
      <c r="AM242" s="10" t="str">
        <f>IF(AND(ISNUMBER(F242),ISNUMBER(G242),ISNUMBER(M242),ISNUMBER(N242)),MOD(DEGREES(ATAN2(COS(RADIANS(M242))*SIN(RADIANS(F242))-SIN(RADIANS(M242))*COS(RADIANS(F242))*COS(RADIANS(G242-N242)),SIN(RADIANS(G242-N242))*COS(RADIANS(F242))))+360,360),"N/A")</f>
        <v>N/A</v>
      </c>
      <c r="AN242" s="2"/>
      <c r="AO242" s="2"/>
    </row>
    <row r="243" spans="1:41" x14ac:dyDescent="0.2">
      <c r="A243" s="4" t="s">
        <v>540</v>
      </c>
      <c r="B243" s="4" t="s">
        <v>126</v>
      </c>
      <c r="C243" s="5" t="s">
        <v>340</v>
      </c>
      <c r="D243" s="4" t="s">
        <v>70</v>
      </c>
      <c r="E243" s="4" t="s">
        <v>71</v>
      </c>
      <c r="F243" s="15">
        <v>41.620699999999999</v>
      </c>
      <c r="G243" s="15">
        <v>17.473299999999998</v>
      </c>
      <c r="H243" s="16">
        <v>-1126</v>
      </c>
      <c r="I243" s="4" t="s">
        <v>543</v>
      </c>
      <c r="J243" s="4" t="s">
        <v>15</v>
      </c>
      <c r="K243" s="6">
        <v>40.826999999999998</v>
      </c>
      <c r="L243" s="6">
        <v>14.138999999999999</v>
      </c>
      <c r="M243" s="5" t="s">
        <v>340</v>
      </c>
      <c r="N243" s="5" t="s">
        <v>340</v>
      </c>
      <c r="O243" s="4" t="s">
        <v>549</v>
      </c>
      <c r="P243" s="5">
        <v>14</v>
      </c>
      <c r="Q243" s="5" t="s">
        <v>1036</v>
      </c>
      <c r="R243" s="4" t="s">
        <v>184</v>
      </c>
      <c r="S243" s="4" t="s">
        <v>1121</v>
      </c>
      <c r="T243" s="7">
        <v>16560</v>
      </c>
      <c r="U243" s="7">
        <f>AVERAGE(V243,T243)</f>
        <v>17234.5</v>
      </c>
      <c r="V243" s="7">
        <v>17909</v>
      </c>
      <c r="W243" s="15" t="s">
        <v>1155</v>
      </c>
      <c r="X243" s="15" t="s">
        <v>1005</v>
      </c>
      <c r="Y243" s="7" t="s">
        <v>340</v>
      </c>
      <c r="Z243" s="7" t="s">
        <v>340</v>
      </c>
      <c r="AA243" s="7">
        <v>17900</v>
      </c>
      <c r="AB243" s="2">
        <v>500</v>
      </c>
      <c r="AC243" s="7" t="s">
        <v>340</v>
      </c>
      <c r="AD243" s="7" t="s">
        <v>340</v>
      </c>
      <c r="AE243" s="7">
        <v>17235</v>
      </c>
      <c r="AF243" s="7">
        <f>AE243-T243</f>
        <v>675</v>
      </c>
      <c r="AG243" s="7" t="s">
        <v>340</v>
      </c>
      <c r="AH243" s="5">
        <v>1</v>
      </c>
      <c r="AI243" s="5">
        <v>1</v>
      </c>
      <c r="AJ243" s="9">
        <f>IF(AND(ISNUMBER(F243),ISNUMBER(G243),ISNUMBER(K243),ISNUMBER(L243)),ACOS(MIN(1,COS(RADIANS(90-F243))*COS(RADIANS(90-K243))+SIN(RADIANS(90-F243))*SIN(RADIANS(90-K243))*COS(RADIANS(G243-L243))))*6371,"N/A")</f>
        <v>292.47079934979007</v>
      </c>
      <c r="AK243" s="10">
        <f>IF(AND(ISNUMBER(F243),ISNUMBER(G243),ISNUMBER(K243),ISNUMBER(L243)),MOD(DEGREES(ATAN2(COS(RADIANS(K243))*SIN(RADIANS(F243))-SIN(RADIANS(K243))*COS(RADIANS(F243))*COS(RADIANS(G243-L243)),SIN(RADIANS(G243-L243))*COS(RADIANS(F243))))+360,360),"N/A")</f>
        <v>71.344146106215931</v>
      </c>
      <c r="AL243" s="10" t="str">
        <f>IF(AND(ISNUMBER(F243),ISNUMBER(G243),ISNUMBER(M243),ISNUMBER(N243)),ACOS(MIN(1,COS(RADIANS(90-F243))*COS(RADIANS(90-M243))+SIN(RADIANS(90-F243))*SIN(RADIANS(90-M243))*COS(RADIANS(G243-N243))))*6371,"N/A")</f>
        <v>N/A</v>
      </c>
      <c r="AM243" s="10" t="str">
        <f>IF(AND(ISNUMBER(F243),ISNUMBER(G243),ISNUMBER(M243),ISNUMBER(N243)),MOD(DEGREES(ATAN2(COS(RADIANS(M243))*SIN(RADIANS(F243))-SIN(RADIANS(M243))*COS(RADIANS(F243))*COS(RADIANS(G243-N243)),SIN(RADIANS(G243-N243))*COS(RADIANS(F243))))+360,360),"N/A")</f>
        <v>N/A</v>
      </c>
      <c r="AN243" s="2"/>
      <c r="AO243" s="2"/>
    </row>
    <row r="244" spans="1:41" x14ac:dyDescent="0.2">
      <c r="A244" s="4" t="s">
        <v>539</v>
      </c>
      <c r="B244" s="4" t="s">
        <v>126</v>
      </c>
      <c r="C244" s="5" t="s">
        <v>340</v>
      </c>
      <c r="D244" s="4" t="s">
        <v>70</v>
      </c>
      <c r="E244" s="4" t="s">
        <v>71</v>
      </c>
      <c r="F244" s="15">
        <v>41.620699999999999</v>
      </c>
      <c r="G244" s="15">
        <v>17.473299999999998</v>
      </c>
      <c r="H244" s="16">
        <v>-1126</v>
      </c>
      <c r="I244" s="4" t="s">
        <v>543</v>
      </c>
      <c r="J244" s="4" t="s">
        <v>15</v>
      </c>
      <c r="K244" s="6">
        <v>40.826999999999998</v>
      </c>
      <c r="L244" s="6">
        <v>14.138999999999999</v>
      </c>
      <c r="M244" s="5" t="s">
        <v>340</v>
      </c>
      <c r="N244" s="5" t="s">
        <v>340</v>
      </c>
      <c r="O244" s="4" t="s">
        <v>14</v>
      </c>
      <c r="P244" s="5">
        <v>17</v>
      </c>
      <c r="Q244" s="5" t="s">
        <v>1037</v>
      </c>
      <c r="R244" s="4" t="s">
        <v>184</v>
      </c>
      <c r="S244" s="4" t="s">
        <v>1121</v>
      </c>
      <c r="T244" s="7">
        <v>15794</v>
      </c>
      <c r="U244" s="7">
        <f>AVERAGE(V244,T244)</f>
        <v>16461</v>
      </c>
      <c r="V244" s="7">
        <v>17128</v>
      </c>
      <c r="W244" s="15" t="s">
        <v>550</v>
      </c>
      <c r="X244" s="15" t="s">
        <v>543</v>
      </c>
      <c r="Y244" s="7" t="s">
        <v>340</v>
      </c>
      <c r="Z244" s="7" t="s">
        <v>340</v>
      </c>
      <c r="AA244" s="7" t="s">
        <v>340</v>
      </c>
      <c r="AB244" s="7" t="s">
        <v>340</v>
      </c>
      <c r="AC244" s="7" t="s">
        <v>340</v>
      </c>
      <c r="AD244" s="7" t="s">
        <v>340</v>
      </c>
      <c r="AE244" s="7">
        <v>16461</v>
      </c>
      <c r="AF244" s="7">
        <f>AE244-T244</f>
        <v>667</v>
      </c>
      <c r="AG244" s="7" t="s">
        <v>340</v>
      </c>
      <c r="AH244" s="5">
        <v>1</v>
      </c>
      <c r="AI244" s="5">
        <v>1</v>
      </c>
      <c r="AJ244" s="9">
        <f>IF(AND(ISNUMBER(F244),ISNUMBER(G244),ISNUMBER(K244),ISNUMBER(L244)),ACOS(MIN(1,COS(RADIANS(90-F244))*COS(RADIANS(90-K244))+SIN(RADIANS(90-F244))*SIN(RADIANS(90-K244))*COS(RADIANS(G244-L244))))*6371,"N/A")</f>
        <v>292.47079934979007</v>
      </c>
      <c r="AK244" s="10">
        <f>IF(AND(ISNUMBER(F244),ISNUMBER(G244),ISNUMBER(K244),ISNUMBER(L244)),MOD(DEGREES(ATAN2(COS(RADIANS(K244))*SIN(RADIANS(F244))-SIN(RADIANS(K244))*COS(RADIANS(F244))*COS(RADIANS(G244-L244)),SIN(RADIANS(G244-L244))*COS(RADIANS(F244))))+360,360),"N/A")</f>
        <v>71.344146106215931</v>
      </c>
      <c r="AL244" s="10" t="str">
        <f>IF(AND(ISNUMBER(F244),ISNUMBER(G244),ISNUMBER(M244),ISNUMBER(N244)),ACOS(MIN(1,COS(RADIANS(90-F244))*COS(RADIANS(90-M244))+SIN(RADIANS(90-F244))*SIN(RADIANS(90-M244))*COS(RADIANS(G244-N244))))*6371,"N/A")</f>
        <v>N/A</v>
      </c>
      <c r="AM244" s="10" t="str">
        <f>IF(AND(ISNUMBER(F244),ISNUMBER(G244),ISNUMBER(M244),ISNUMBER(N244)),MOD(DEGREES(ATAN2(COS(RADIANS(M244))*SIN(RADIANS(F244))-SIN(RADIANS(M244))*COS(RADIANS(F244))*COS(RADIANS(G244-N244)),SIN(RADIANS(G244-N244))*COS(RADIANS(F244))))+360,360),"N/A")</f>
        <v>N/A</v>
      </c>
      <c r="AN244" s="2"/>
      <c r="AO244" s="2"/>
    </row>
    <row r="245" spans="1:41" x14ac:dyDescent="0.2">
      <c r="A245" s="4" t="s">
        <v>532</v>
      </c>
      <c r="B245" s="4" t="s">
        <v>126</v>
      </c>
      <c r="C245" s="5" t="s">
        <v>340</v>
      </c>
      <c r="D245" s="4" t="s">
        <v>70</v>
      </c>
      <c r="E245" s="4" t="s">
        <v>71</v>
      </c>
      <c r="F245" s="15">
        <v>41.620699999999999</v>
      </c>
      <c r="G245" s="15">
        <v>17.473299999999998</v>
      </c>
      <c r="H245" s="16">
        <v>-1126</v>
      </c>
      <c r="I245" s="4" t="s">
        <v>543</v>
      </c>
      <c r="J245" s="4" t="s">
        <v>14</v>
      </c>
      <c r="K245" s="6" t="s">
        <v>340</v>
      </c>
      <c r="L245" s="6" t="s">
        <v>340</v>
      </c>
      <c r="M245" s="5" t="s">
        <v>340</v>
      </c>
      <c r="N245" s="5" t="s">
        <v>340</v>
      </c>
      <c r="O245" s="4" t="s">
        <v>14</v>
      </c>
      <c r="P245" s="5">
        <v>6</v>
      </c>
      <c r="Q245" s="5" t="s">
        <v>1038</v>
      </c>
      <c r="R245" s="4" t="s">
        <v>184</v>
      </c>
      <c r="S245" s="4" t="s">
        <v>1121</v>
      </c>
      <c r="T245" s="7">
        <v>5835</v>
      </c>
      <c r="U245" s="7">
        <v>6731</v>
      </c>
      <c r="V245" s="7">
        <v>7626</v>
      </c>
      <c r="W245" s="15" t="s">
        <v>550</v>
      </c>
      <c r="X245" s="15" t="s">
        <v>543</v>
      </c>
      <c r="Y245" s="7" t="s">
        <v>340</v>
      </c>
      <c r="Z245" s="7" t="s">
        <v>340</v>
      </c>
      <c r="AA245" s="7" t="s">
        <v>340</v>
      </c>
      <c r="AB245" s="7" t="s">
        <v>340</v>
      </c>
      <c r="AC245" s="7" t="s">
        <v>340</v>
      </c>
      <c r="AD245" s="7" t="s">
        <v>340</v>
      </c>
      <c r="AE245" s="7">
        <v>6731</v>
      </c>
      <c r="AF245" s="7">
        <f>AE245-T245</f>
        <v>896</v>
      </c>
      <c r="AG245" s="7" t="s">
        <v>340</v>
      </c>
      <c r="AH245" s="5">
        <v>1</v>
      </c>
      <c r="AI245" s="5">
        <v>1</v>
      </c>
      <c r="AJ245" s="9" t="str">
        <f>IF(AND(ISNUMBER(F245),ISNUMBER(G245),ISNUMBER(K245),ISNUMBER(L245)),ACOS(MIN(1,COS(RADIANS(90-F245))*COS(RADIANS(90-K245))+SIN(RADIANS(90-F245))*SIN(RADIANS(90-K245))*COS(RADIANS(G245-L245))))*6371,"N/A")</f>
        <v>N/A</v>
      </c>
      <c r="AK245" s="10" t="str">
        <f>IF(AND(ISNUMBER(F245),ISNUMBER(G245),ISNUMBER(K245),ISNUMBER(L245)),MOD(DEGREES(ATAN2(COS(RADIANS(K245))*SIN(RADIANS(F245))-SIN(RADIANS(K245))*COS(RADIANS(F245))*COS(RADIANS(G245-L245)),SIN(RADIANS(G245-L245))*COS(RADIANS(F245))))+360,360),"N/A")</f>
        <v>N/A</v>
      </c>
      <c r="AL245" s="10" t="str">
        <f>IF(AND(ISNUMBER(F245),ISNUMBER(G245),ISNUMBER(M245),ISNUMBER(N245)),ACOS(MIN(1,COS(RADIANS(90-F245))*COS(RADIANS(90-M245))+SIN(RADIANS(90-F245))*SIN(RADIANS(90-M245))*COS(RADIANS(G245-N245))))*6371,"N/A")</f>
        <v>N/A</v>
      </c>
      <c r="AM245" s="10" t="str">
        <f>IF(AND(ISNUMBER(F245),ISNUMBER(G245),ISNUMBER(M245),ISNUMBER(N245)),MOD(DEGREES(ATAN2(COS(RADIANS(M245))*SIN(RADIANS(F245))-SIN(RADIANS(M245))*COS(RADIANS(F245))*COS(RADIANS(G245-N245)),SIN(RADIANS(G245-N245))*COS(RADIANS(F245))))+360,360),"N/A")</f>
        <v>N/A</v>
      </c>
      <c r="AN245" s="2"/>
      <c r="AO245" s="2"/>
    </row>
    <row r="246" spans="1:41" x14ac:dyDescent="0.2">
      <c r="A246" s="4" t="s">
        <v>526</v>
      </c>
      <c r="B246" s="4" t="s">
        <v>126</v>
      </c>
      <c r="C246" s="5" t="s">
        <v>340</v>
      </c>
      <c r="D246" s="4" t="s">
        <v>70</v>
      </c>
      <c r="E246" s="4" t="s">
        <v>71</v>
      </c>
      <c r="F246" s="15">
        <v>41.620699999999999</v>
      </c>
      <c r="G246" s="15">
        <v>17.473299999999998</v>
      </c>
      <c r="H246" s="16">
        <v>-1126</v>
      </c>
      <c r="I246" s="4" t="s">
        <v>543</v>
      </c>
      <c r="J246" s="4" t="s">
        <v>15</v>
      </c>
      <c r="K246" s="6">
        <v>40.826999999999998</v>
      </c>
      <c r="L246" s="6">
        <v>14.138999999999999</v>
      </c>
      <c r="M246" s="5" t="s">
        <v>340</v>
      </c>
      <c r="N246" s="5" t="s">
        <v>340</v>
      </c>
      <c r="O246" s="4" t="s">
        <v>1007</v>
      </c>
      <c r="P246" s="5">
        <v>3</v>
      </c>
      <c r="Q246" s="5" t="s">
        <v>1057</v>
      </c>
      <c r="R246" s="4" t="s">
        <v>184</v>
      </c>
      <c r="S246" s="4" t="s">
        <v>551</v>
      </c>
      <c r="T246" s="7">
        <v>0</v>
      </c>
      <c r="U246" s="7">
        <f>AVERAGE(V246,T246)</f>
        <v>517</v>
      </c>
      <c r="V246" s="7">
        <v>1034</v>
      </c>
      <c r="W246" s="15" t="s">
        <v>550</v>
      </c>
      <c r="X246" s="15" t="s">
        <v>543</v>
      </c>
      <c r="Y246" s="7" t="s">
        <v>340</v>
      </c>
      <c r="Z246" s="7" t="s">
        <v>340</v>
      </c>
      <c r="AA246" s="7" t="s">
        <v>340</v>
      </c>
      <c r="AB246" s="7" t="s">
        <v>340</v>
      </c>
      <c r="AC246" s="7" t="s">
        <v>340</v>
      </c>
      <c r="AD246" s="7" t="s">
        <v>340</v>
      </c>
      <c r="AE246" s="7">
        <v>517</v>
      </c>
      <c r="AF246" s="7">
        <v>517</v>
      </c>
      <c r="AG246" s="7" t="s">
        <v>340</v>
      </c>
      <c r="AH246" s="5">
        <v>1</v>
      </c>
      <c r="AI246" s="5">
        <v>1</v>
      </c>
      <c r="AJ246" s="9">
        <f>IF(AND(ISNUMBER(F246),ISNUMBER(G246),ISNUMBER(K246),ISNUMBER(L246)),ACOS(MIN(1,COS(RADIANS(90-F246))*COS(RADIANS(90-K246))+SIN(RADIANS(90-F246))*SIN(RADIANS(90-K246))*COS(RADIANS(G246-L246))))*6371,"N/A")</f>
        <v>292.47079934979007</v>
      </c>
      <c r="AK246" s="10">
        <f>IF(AND(ISNUMBER(F246),ISNUMBER(G246),ISNUMBER(K246),ISNUMBER(L246)),MOD(DEGREES(ATAN2(COS(RADIANS(K246))*SIN(RADIANS(F246))-SIN(RADIANS(K246))*COS(RADIANS(F246))*COS(RADIANS(G246-L246)),SIN(RADIANS(G246-L246))*COS(RADIANS(F246))))+360,360),"N/A")</f>
        <v>71.344146106215931</v>
      </c>
      <c r="AL246" s="10" t="str">
        <f>IF(AND(ISNUMBER(F246),ISNUMBER(G246),ISNUMBER(M246),ISNUMBER(N246)),ACOS(MIN(1,COS(RADIANS(90-F246))*COS(RADIANS(90-M246))+SIN(RADIANS(90-F246))*SIN(RADIANS(90-M246))*COS(RADIANS(G246-N246))))*6371,"N/A")</f>
        <v>N/A</v>
      </c>
      <c r="AM246" s="10" t="str">
        <f>IF(AND(ISNUMBER(F246),ISNUMBER(G246),ISNUMBER(M246),ISNUMBER(N246)),MOD(DEGREES(ATAN2(COS(RADIANS(M246))*SIN(RADIANS(F246))-SIN(RADIANS(M246))*COS(RADIANS(F246))*COS(RADIANS(G246-N246)),SIN(RADIANS(G246-N246))*COS(RADIANS(F246))))+360,360),"N/A")</f>
        <v>N/A</v>
      </c>
      <c r="AN246" s="2"/>
      <c r="AO246" s="2"/>
    </row>
    <row r="247" spans="1:41" x14ac:dyDescent="0.2">
      <c r="A247" s="4" t="s">
        <v>531</v>
      </c>
      <c r="B247" s="4" t="s">
        <v>126</v>
      </c>
      <c r="C247" s="5" t="s">
        <v>340</v>
      </c>
      <c r="D247" s="4" t="s">
        <v>70</v>
      </c>
      <c r="E247" s="4" t="s">
        <v>71</v>
      </c>
      <c r="F247" s="15">
        <v>41.620699999999999</v>
      </c>
      <c r="G247" s="15">
        <v>17.473299999999998</v>
      </c>
      <c r="H247" s="16">
        <v>-1126</v>
      </c>
      <c r="I247" s="4" t="s">
        <v>543</v>
      </c>
      <c r="J247" s="4" t="s">
        <v>1064</v>
      </c>
      <c r="K247" s="6">
        <v>38.533332999999999</v>
      </c>
      <c r="L247" s="6">
        <v>14.9</v>
      </c>
      <c r="M247" s="5">
        <v>40.826999999999998</v>
      </c>
      <c r="N247" s="5">
        <v>14.138999999999999</v>
      </c>
      <c r="O247" s="4" t="s">
        <v>1006</v>
      </c>
      <c r="P247" s="5">
        <v>10</v>
      </c>
      <c r="Q247" s="5" t="s">
        <v>1038</v>
      </c>
      <c r="R247" s="4" t="s">
        <v>184</v>
      </c>
      <c r="S247" s="4" t="s">
        <v>546</v>
      </c>
      <c r="T247" s="7">
        <v>5835</v>
      </c>
      <c r="U247" s="7">
        <v>6731</v>
      </c>
      <c r="V247" s="7">
        <v>7626</v>
      </c>
      <c r="W247" s="15" t="s">
        <v>550</v>
      </c>
      <c r="X247" s="15" t="s">
        <v>543</v>
      </c>
      <c r="Y247" s="7" t="s">
        <v>340</v>
      </c>
      <c r="Z247" s="7" t="s">
        <v>340</v>
      </c>
      <c r="AA247" s="7" t="s">
        <v>340</v>
      </c>
      <c r="AB247" s="7" t="s">
        <v>340</v>
      </c>
      <c r="AC247" s="7" t="s">
        <v>340</v>
      </c>
      <c r="AD247" s="7" t="s">
        <v>340</v>
      </c>
      <c r="AE247" s="7">
        <v>6731</v>
      </c>
      <c r="AF247" s="7">
        <f>AE247-T247</f>
        <v>896</v>
      </c>
      <c r="AG247" s="7" t="s">
        <v>340</v>
      </c>
      <c r="AH247" s="5">
        <v>1</v>
      </c>
      <c r="AI247" s="5">
        <v>1</v>
      </c>
      <c r="AJ247" s="9">
        <f>IF(AND(ISNUMBER(F247),ISNUMBER(G247),ISNUMBER(K247),ISNUMBER(L247)),ACOS(MIN(1,COS(RADIANS(90-F247))*COS(RADIANS(90-K247))+SIN(RADIANS(90-F247))*SIN(RADIANS(90-K247))*COS(RADIANS(G247-L247))))*6371,"N/A")</f>
        <v>407.1274406602497</v>
      </c>
      <c r="AK247" s="10">
        <f>IF(AND(ISNUMBER(F247),ISNUMBER(G247),ISNUMBER(K247),ISNUMBER(L247)),MOD(DEGREES(ATAN2(COS(RADIANS(K247))*SIN(RADIANS(F247))-SIN(RADIANS(K247))*COS(RADIANS(F247))*COS(RADIANS(G247-L247)),SIN(RADIANS(G247-L247))*COS(RADIANS(F247))))+360,360),"N/A")</f>
        <v>31.707361203214703</v>
      </c>
      <c r="AL247" s="10">
        <f>IF(AND(ISNUMBER(F247),ISNUMBER(G247),ISNUMBER(M247),ISNUMBER(N247)),ACOS(MIN(1,COS(RADIANS(90-F247))*COS(RADIANS(90-M247))+SIN(RADIANS(90-F247))*SIN(RADIANS(90-M247))*COS(RADIANS(G247-N247))))*6371,"N/A")</f>
        <v>292.47079934979007</v>
      </c>
      <c r="AM247" s="10">
        <f>IF(AND(ISNUMBER(F247),ISNUMBER(G247),ISNUMBER(M247),ISNUMBER(N247)),MOD(DEGREES(ATAN2(COS(RADIANS(M247))*SIN(RADIANS(F247))-SIN(RADIANS(M247))*COS(RADIANS(F247))*COS(RADIANS(G247-N247)),SIN(RADIANS(G247-N247))*COS(RADIANS(F247))))+360,360),"N/A")</f>
        <v>71.344146106215931</v>
      </c>
      <c r="AN247" s="2"/>
      <c r="AO247" s="2"/>
    </row>
    <row r="248" spans="1:41" x14ac:dyDescent="0.2">
      <c r="A248" s="4" t="s">
        <v>528</v>
      </c>
      <c r="B248" s="4" t="s">
        <v>126</v>
      </c>
      <c r="C248" s="5" t="s">
        <v>340</v>
      </c>
      <c r="D248" s="4" t="s">
        <v>70</v>
      </c>
      <c r="E248" s="4" t="s">
        <v>71</v>
      </c>
      <c r="F248" s="15">
        <v>41.620699999999999</v>
      </c>
      <c r="G248" s="15">
        <v>17.473299999999998</v>
      </c>
      <c r="H248" s="16">
        <v>-1126</v>
      </c>
      <c r="I248" s="4" t="s">
        <v>543</v>
      </c>
      <c r="J248" s="4" t="s">
        <v>15</v>
      </c>
      <c r="K248" s="6">
        <v>40.826999999999998</v>
      </c>
      <c r="L248" s="6">
        <v>14.138999999999999</v>
      </c>
      <c r="M248" s="5" t="s">
        <v>340</v>
      </c>
      <c r="N248" s="5" t="s">
        <v>340</v>
      </c>
      <c r="O248" s="4" t="s">
        <v>199</v>
      </c>
      <c r="P248" s="5">
        <v>184</v>
      </c>
      <c r="Q248" s="5">
        <v>9999</v>
      </c>
      <c r="R248" s="4" t="s">
        <v>41</v>
      </c>
      <c r="S248" s="4" t="s">
        <v>544</v>
      </c>
      <c r="T248" s="7">
        <v>4483</v>
      </c>
      <c r="U248" s="7">
        <v>4540</v>
      </c>
      <c r="V248" s="7">
        <v>4627</v>
      </c>
      <c r="W248" s="15" t="s">
        <v>928</v>
      </c>
      <c r="X248" s="21" t="s">
        <v>1357</v>
      </c>
      <c r="Y248" s="7" t="s">
        <v>340</v>
      </c>
      <c r="Z248" s="7" t="s">
        <v>340</v>
      </c>
      <c r="AA248" s="7" t="s">
        <v>340</v>
      </c>
      <c r="AB248" s="7" t="s">
        <v>340</v>
      </c>
      <c r="AC248" s="7">
        <v>5390</v>
      </c>
      <c r="AD248" s="7">
        <v>270</v>
      </c>
      <c r="AE248" s="7">
        <v>4546</v>
      </c>
      <c r="AF248" s="7">
        <v>36</v>
      </c>
      <c r="AG248" s="7" t="s">
        <v>340</v>
      </c>
      <c r="AH248" s="5">
        <v>1</v>
      </c>
      <c r="AI248" s="5">
        <v>1</v>
      </c>
      <c r="AJ248" s="9">
        <f>IF(AND(ISNUMBER(F248),ISNUMBER(G248),ISNUMBER(K248),ISNUMBER(L248)),ACOS(MIN(1,COS(RADIANS(90-F248))*COS(RADIANS(90-K248))+SIN(RADIANS(90-F248))*SIN(RADIANS(90-K248))*COS(RADIANS(G248-L248))))*6371,"N/A")</f>
        <v>292.47079934979007</v>
      </c>
      <c r="AK248" s="10">
        <f>IF(AND(ISNUMBER(F248),ISNUMBER(G248),ISNUMBER(K248),ISNUMBER(L248)),MOD(DEGREES(ATAN2(COS(RADIANS(K248))*SIN(RADIANS(F248))-SIN(RADIANS(K248))*COS(RADIANS(F248))*COS(RADIANS(G248-L248)),SIN(RADIANS(G248-L248))*COS(RADIANS(F248))))+360,360),"N/A")</f>
        <v>71.344146106215931</v>
      </c>
      <c r="AL248" s="10" t="str">
        <f>IF(AND(ISNUMBER(F248),ISNUMBER(G248),ISNUMBER(M248),ISNUMBER(N248)),ACOS(MIN(1,COS(RADIANS(90-F248))*COS(RADIANS(90-M248))+SIN(RADIANS(90-F248))*SIN(RADIANS(90-M248))*COS(RADIANS(G248-N248))))*6371,"N/A")</f>
        <v>N/A</v>
      </c>
      <c r="AM248" s="10" t="str">
        <f>IF(AND(ISNUMBER(F248),ISNUMBER(G248),ISNUMBER(M248),ISNUMBER(N248)),MOD(DEGREES(ATAN2(COS(RADIANS(M248))*SIN(RADIANS(F248))-SIN(RADIANS(M248))*COS(RADIANS(F248))*COS(RADIANS(G248-N248)),SIN(RADIANS(G248-N248))*COS(RADIANS(F248))))+360,360),"N/A")</f>
        <v>N/A</v>
      </c>
      <c r="AN248" s="2"/>
      <c r="AO248" s="2"/>
    </row>
    <row r="249" spans="1:41" x14ac:dyDescent="0.2">
      <c r="A249" s="4" t="s">
        <v>536</v>
      </c>
      <c r="B249" s="4" t="s">
        <v>126</v>
      </c>
      <c r="C249" s="5" t="s">
        <v>340</v>
      </c>
      <c r="D249" s="4" t="s">
        <v>70</v>
      </c>
      <c r="E249" s="4" t="s">
        <v>71</v>
      </c>
      <c r="F249" s="15">
        <v>41.620699999999999</v>
      </c>
      <c r="G249" s="15">
        <v>17.473299999999998</v>
      </c>
      <c r="H249" s="16">
        <v>-1126</v>
      </c>
      <c r="I249" s="4" t="s">
        <v>543</v>
      </c>
      <c r="J249" s="4" t="s">
        <v>15</v>
      </c>
      <c r="K249" s="6">
        <v>40.826999999999998</v>
      </c>
      <c r="L249" s="6">
        <v>14.138999999999999</v>
      </c>
      <c r="M249" s="5" t="s">
        <v>340</v>
      </c>
      <c r="N249" s="5" t="s">
        <v>340</v>
      </c>
      <c r="O249" s="4" t="s">
        <v>20</v>
      </c>
      <c r="P249" s="5">
        <v>25</v>
      </c>
      <c r="Q249" s="5">
        <v>9999</v>
      </c>
      <c r="R249" s="4" t="s">
        <v>41</v>
      </c>
      <c r="S249" s="4" t="s">
        <v>1121</v>
      </c>
      <c r="T249" s="7">
        <v>13761</v>
      </c>
      <c r="U249" s="7">
        <v>14029</v>
      </c>
      <c r="V249" s="7">
        <v>14356</v>
      </c>
      <c r="W249" s="15" t="s">
        <v>933</v>
      </c>
      <c r="X249" s="15" t="s">
        <v>1382</v>
      </c>
      <c r="Y249" s="7" t="s">
        <v>340</v>
      </c>
      <c r="Z249" s="7" t="s">
        <v>340</v>
      </c>
      <c r="AA249" s="7" t="s">
        <v>340</v>
      </c>
      <c r="AB249" s="7" t="s">
        <v>340</v>
      </c>
      <c r="AC249" s="7">
        <v>14120</v>
      </c>
      <c r="AD249" s="7">
        <v>710</v>
      </c>
      <c r="AE249" s="7">
        <v>14037</v>
      </c>
      <c r="AF249" s="7">
        <v>156</v>
      </c>
      <c r="AG249" s="7" t="s">
        <v>340</v>
      </c>
      <c r="AH249" s="5">
        <v>1</v>
      </c>
      <c r="AI249" s="5">
        <v>1</v>
      </c>
      <c r="AJ249" s="9">
        <f>IF(AND(ISNUMBER(F249),ISNUMBER(G249),ISNUMBER(K249),ISNUMBER(L249)),ACOS(MIN(1,COS(RADIANS(90-F249))*COS(RADIANS(90-K249))+SIN(RADIANS(90-F249))*SIN(RADIANS(90-K249))*COS(RADIANS(G249-L249))))*6371,"N/A")</f>
        <v>292.47079934979007</v>
      </c>
      <c r="AK249" s="10">
        <f>IF(AND(ISNUMBER(F249),ISNUMBER(G249),ISNUMBER(K249),ISNUMBER(L249)),MOD(DEGREES(ATAN2(COS(RADIANS(K249))*SIN(RADIANS(F249))-SIN(RADIANS(K249))*COS(RADIANS(F249))*COS(RADIANS(G249-L249)),SIN(RADIANS(G249-L249))*COS(RADIANS(F249))))+360,360),"N/A")</f>
        <v>71.344146106215931</v>
      </c>
      <c r="AL249" s="10" t="str">
        <f>IF(AND(ISNUMBER(F249),ISNUMBER(G249),ISNUMBER(M249),ISNUMBER(N249)),ACOS(MIN(1,COS(RADIANS(90-F249))*COS(RADIANS(90-M249))+SIN(RADIANS(90-F249))*SIN(RADIANS(90-M249))*COS(RADIANS(G249-N249))))*6371,"N/A")</f>
        <v>N/A</v>
      </c>
      <c r="AM249" s="10" t="str">
        <f>IF(AND(ISNUMBER(F249),ISNUMBER(G249),ISNUMBER(M249),ISNUMBER(N249)),MOD(DEGREES(ATAN2(COS(RADIANS(M249))*SIN(RADIANS(F249))-SIN(RADIANS(M249))*COS(RADIANS(F249))*COS(RADIANS(G249-N249)),SIN(RADIANS(G249-N249))*COS(RADIANS(F249))))+360,360),"N/A")</f>
        <v>N/A</v>
      </c>
      <c r="AN249" s="2"/>
      <c r="AO249" s="2"/>
    </row>
    <row r="250" spans="1:41" x14ac:dyDescent="0.2">
      <c r="A250" s="4" t="s">
        <v>534</v>
      </c>
      <c r="B250" s="4" t="s">
        <v>126</v>
      </c>
      <c r="C250" s="5" t="s">
        <v>340</v>
      </c>
      <c r="D250" s="4" t="s">
        <v>70</v>
      </c>
      <c r="E250" s="4" t="s">
        <v>71</v>
      </c>
      <c r="F250" s="15">
        <v>41.620699999999999</v>
      </c>
      <c r="G250" s="15">
        <v>17.473299999999998</v>
      </c>
      <c r="H250" s="16">
        <v>-1126</v>
      </c>
      <c r="I250" s="4" t="s">
        <v>543</v>
      </c>
      <c r="J250" s="4" t="s">
        <v>15</v>
      </c>
      <c r="K250" s="6">
        <v>40.826999999999998</v>
      </c>
      <c r="L250" s="6">
        <v>14.138999999999999</v>
      </c>
      <c r="M250" s="5" t="s">
        <v>340</v>
      </c>
      <c r="N250" s="5" t="s">
        <v>340</v>
      </c>
      <c r="O250" s="4" t="s">
        <v>232</v>
      </c>
      <c r="P250" s="5">
        <v>35</v>
      </c>
      <c r="Q250" s="5">
        <v>9999</v>
      </c>
      <c r="R250" s="4" t="s">
        <v>41</v>
      </c>
      <c r="S250" s="4" t="s">
        <v>1121</v>
      </c>
      <c r="T250" s="7">
        <v>11860</v>
      </c>
      <c r="U250" s="7">
        <v>12096</v>
      </c>
      <c r="V250" s="7">
        <v>12396</v>
      </c>
      <c r="W250" s="15" t="s">
        <v>928</v>
      </c>
      <c r="X250" s="21" t="s">
        <v>1357</v>
      </c>
      <c r="Y250" s="7" t="s">
        <v>340</v>
      </c>
      <c r="Z250" s="7" t="s">
        <v>340</v>
      </c>
      <c r="AA250" s="7" t="s">
        <v>340</v>
      </c>
      <c r="AB250" s="7" t="s">
        <v>340</v>
      </c>
      <c r="AC250" s="7">
        <v>12180</v>
      </c>
      <c r="AD250" s="7">
        <v>610</v>
      </c>
      <c r="AE250" s="7">
        <v>12104</v>
      </c>
      <c r="AF250" s="7">
        <v>141</v>
      </c>
      <c r="AG250" s="7" t="s">
        <v>340</v>
      </c>
      <c r="AH250" s="5">
        <v>1</v>
      </c>
      <c r="AI250" s="5">
        <v>1</v>
      </c>
      <c r="AJ250" s="9">
        <f>IF(AND(ISNUMBER(F250),ISNUMBER(G250),ISNUMBER(K250),ISNUMBER(L250)),ACOS(MIN(1,COS(RADIANS(90-F250))*COS(RADIANS(90-K250))+SIN(RADIANS(90-F250))*SIN(RADIANS(90-K250))*COS(RADIANS(G250-L250))))*6371,"N/A")</f>
        <v>292.47079934979007</v>
      </c>
      <c r="AK250" s="10">
        <f>IF(AND(ISNUMBER(F250),ISNUMBER(G250),ISNUMBER(K250),ISNUMBER(L250)),MOD(DEGREES(ATAN2(COS(RADIANS(K250))*SIN(RADIANS(F250))-SIN(RADIANS(K250))*COS(RADIANS(F250))*COS(RADIANS(G250-L250)),SIN(RADIANS(G250-L250))*COS(RADIANS(F250))))+360,360),"N/A")</f>
        <v>71.344146106215931</v>
      </c>
      <c r="AL250" s="10" t="str">
        <f>IF(AND(ISNUMBER(F250),ISNUMBER(G250),ISNUMBER(M250),ISNUMBER(N250)),ACOS(MIN(1,COS(RADIANS(90-F250))*COS(RADIANS(90-M250))+SIN(RADIANS(90-F250))*SIN(RADIANS(90-M250))*COS(RADIANS(G250-N250))))*6371,"N/A")</f>
        <v>N/A</v>
      </c>
      <c r="AM250" s="10" t="str">
        <f>IF(AND(ISNUMBER(F250),ISNUMBER(G250),ISNUMBER(M250),ISNUMBER(N250)),MOD(DEGREES(ATAN2(COS(RADIANS(M250))*SIN(RADIANS(F250))-SIN(RADIANS(M250))*COS(RADIANS(F250))*COS(RADIANS(G250-N250)),SIN(RADIANS(G250-N250))*COS(RADIANS(F250))))+360,360),"N/A")</f>
        <v>N/A</v>
      </c>
      <c r="AN250" s="2"/>
      <c r="AO250" s="2"/>
    </row>
    <row r="251" spans="1:41" x14ac:dyDescent="0.2">
      <c r="A251" s="4" t="s">
        <v>527</v>
      </c>
      <c r="B251" s="4" t="s">
        <v>126</v>
      </c>
      <c r="C251" s="5" t="s">
        <v>340</v>
      </c>
      <c r="D251" s="4" t="s">
        <v>70</v>
      </c>
      <c r="E251" s="4" t="s">
        <v>71</v>
      </c>
      <c r="F251" s="15">
        <v>41.620699999999999</v>
      </c>
      <c r="G251" s="15">
        <v>17.473299999999998</v>
      </c>
      <c r="H251" s="16">
        <v>-1126</v>
      </c>
      <c r="I251" s="4" t="s">
        <v>543</v>
      </c>
      <c r="J251" s="4" t="s">
        <v>16</v>
      </c>
      <c r="K251" s="6">
        <v>40.820999999999998</v>
      </c>
      <c r="L251" s="6">
        <v>14.426</v>
      </c>
      <c r="M251" s="5" t="s">
        <v>340</v>
      </c>
      <c r="N251" s="5" t="s">
        <v>340</v>
      </c>
      <c r="O251" s="4" t="s">
        <v>880</v>
      </c>
      <c r="P251" s="5">
        <v>29</v>
      </c>
      <c r="Q251" s="5" t="s">
        <v>1056</v>
      </c>
      <c r="R251" s="4" t="s">
        <v>41</v>
      </c>
      <c r="S251" s="4" t="s">
        <v>1121</v>
      </c>
      <c r="T251" s="7">
        <v>1478</v>
      </c>
      <c r="U251" s="7">
        <v>1478</v>
      </c>
      <c r="V251" s="7">
        <v>1478</v>
      </c>
      <c r="W251" s="15" t="s">
        <v>898</v>
      </c>
      <c r="X251" s="15" t="s">
        <v>897</v>
      </c>
      <c r="Y251" s="7" t="s">
        <v>340</v>
      </c>
      <c r="Z251" s="7" t="s">
        <v>340</v>
      </c>
      <c r="AA251" s="7" t="s">
        <v>340</v>
      </c>
      <c r="AB251" s="7" t="s">
        <v>340</v>
      </c>
      <c r="AC251" s="7">
        <v>1440</v>
      </c>
      <c r="AD251" s="7">
        <v>70</v>
      </c>
      <c r="AE251" s="7" t="s">
        <v>340</v>
      </c>
      <c r="AF251" s="7" t="s">
        <v>340</v>
      </c>
      <c r="AG251" s="7" t="s">
        <v>881</v>
      </c>
      <c r="AH251" s="5">
        <v>1</v>
      </c>
      <c r="AI251" s="5">
        <v>1</v>
      </c>
      <c r="AJ251" s="9">
        <f>IF(AND(ISNUMBER(F251),ISNUMBER(G251),ISNUMBER(K251),ISNUMBER(L251)),ACOS(MIN(1,COS(RADIANS(90-F251))*COS(RADIANS(90-K251))+SIN(RADIANS(90-F251))*SIN(RADIANS(90-K251))*COS(RADIANS(G251-L251))))*6371,"N/A")</f>
        <v>269.91840540293151</v>
      </c>
      <c r="AK251" s="10">
        <f>IF(AND(ISNUMBER(F251),ISNUMBER(G251),ISNUMBER(K251),ISNUMBER(L251)),MOD(DEGREES(ATAN2(COS(RADIANS(K251))*SIN(RADIANS(F251))-SIN(RADIANS(K251))*COS(RADIANS(F251))*COS(RADIANS(G251-L251)),SIN(RADIANS(G251-L251))*COS(RADIANS(F251))))+360,360),"N/A")</f>
        <v>69.766609664024827</v>
      </c>
      <c r="AL251" s="10" t="str">
        <f>IF(AND(ISNUMBER(F251),ISNUMBER(G251),ISNUMBER(M251),ISNUMBER(N251)),ACOS(MIN(1,COS(RADIANS(90-F251))*COS(RADIANS(90-M251))+SIN(RADIANS(90-F251))*SIN(RADIANS(90-M251))*COS(RADIANS(G251-N251))))*6371,"N/A")</f>
        <v>N/A</v>
      </c>
      <c r="AM251" s="10" t="str">
        <f>IF(AND(ISNUMBER(F251),ISNUMBER(G251),ISNUMBER(M251),ISNUMBER(N251)),MOD(DEGREES(ATAN2(COS(RADIANS(M251))*SIN(RADIANS(F251))-SIN(RADIANS(M251))*COS(RADIANS(F251))*COS(RADIANS(G251-N251)),SIN(RADIANS(G251-N251))*COS(RADIANS(F251))))+360,360),"N/A")</f>
        <v>N/A</v>
      </c>
      <c r="AN251" s="2"/>
      <c r="AO251" s="2"/>
    </row>
    <row r="252" spans="1:41" x14ac:dyDescent="0.2">
      <c r="A252" s="4" t="s">
        <v>541</v>
      </c>
      <c r="B252" s="4" t="s">
        <v>126</v>
      </c>
      <c r="C252" s="5" t="s">
        <v>340</v>
      </c>
      <c r="D252" s="4" t="s">
        <v>70</v>
      </c>
      <c r="E252" s="4" t="s">
        <v>71</v>
      </c>
      <c r="F252" s="15">
        <v>41.620699999999999</v>
      </c>
      <c r="G252" s="15">
        <v>17.473299999999998</v>
      </c>
      <c r="H252" s="16">
        <v>-1126</v>
      </c>
      <c r="I252" s="4" t="s">
        <v>543</v>
      </c>
      <c r="J252" s="4" t="s">
        <v>16</v>
      </c>
      <c r="K252" s="6">
        <v>40.820999999999998</v>
      </c>
      <c r="L252" s="6">
        <v>14.426</v>
      </c>
      <c r="M252" s="5" t="s">
        <v>340</v>
      </c>
      <c r="N252" s="5" t="s">
        <v>340</v>
      </c>
      <c r="O252" s="4" t="s">
        <v>1069</v>
      </c>
      <c r="P252" s="5">
        <v>28</v>
      </c>
      <c r="Q252" s="5" t="s">
        <v>1030</v>
      </c>
      <c r="R252" s="4" t="s">
        <v>41</v>
      </c>
      <c r="S252" s="4" t="s">
        <v>1121</v>
      </c>
      <c r="T252" s="12">
        <v>18978</v>
      </c>
      <c r="U252" s="12">
        <v>19162</v>
      </c>
      <c r="V252" s="12">
        <v>19352</v>
      </c>
      <c r="W252" s="21" t="s">
        <v>933</v>
      </c>
      <c r="X252" s="21" t="s">
        <v>1359</v>
      </c>
      <c r="Y252" s="7" t="s">
        <v>340</v>
      </c>
      <c r="Z252" s="7" t="s">
        <v>340</v>
      </c>
      <c r="AA252" s="7" t="s">
        <v>340</v>
      </c>
      <c r="AB252" s="7" t="s">
        <v>340</v>
      </c>
      <c r="AC252" s="7">
        <v>17560</v>
      </c>
      <c r="AD252" s="7">
        <v>880</v>
      </c>
      <c r="AE252" s="7">
        <v>19164</v>
      </c>
      <c r="AF252" s="7">
        <v>92</v>
      </c>
      <c r="AG252" s="7" t="s">
        <v>340</v>
      </c>
      <c r="AH252" s="5">
        <v>1</v>
      </c>
      <c r="AI252" s="5">
        <v>1</v>
      </c>
      <c r="AJ252" s="9">
        <f>IF(AND(ISNUMBER(F252),ISNUMBER(G252),ISNUMBER(K252),ISNUMBER(L252)),ACOS(MIN(1,COS(RADIANS(90-F252))*COS(RADIANS(90-K252))+SIN(RADIANS(90-F252))*SIN(RADIANS(90-K252))*COS(RADIANS(G252-L252))))*6371,"N/A")</f>
        <v>269.91840540293151</v>
      </c>
      <c r="AK252" s="10">
        <f>IF(AND(ISNUMBER(F252),ISNUMBER(G252),ISNUMBER(K252),ISNUMBER(L252)),MOD(DEGREES(ATAN2(COS(RADIANS(K252))*SIN(RADIANS(F252))-SIN(RADIANS(K252))*COS(RADIANS(F252))*COS(RADIANS(G252-L252)),SIN(RADIANS(G252-L252))*COS(RADIANS(F252))))+360,360),"N/A")</f>
        <v>69.766609664024827</v>
      </c>
      <c r="AL252" s="10" t="str">
        <f>IF(AND(ISNUMBER(F252),ISNUMBER(G252),ISNUMBER(M252),ISNUMBER(N252)),ACOS(MIN(1,COS(RADIANS(90-F252))*COS(RADIANS(90-M252))+SIN(RADIANS(90-F252))*SIN(RADIANS(90-M252))*COS(RADIANS(G252-N252))))*6371,"N/A")</f>
        <v>N/A</v>
      </c>
      <c r="AM252" s="10" t="str">
        <f>IF(AND(ISNUMBER(F252),ISNUMBER(G252),ISNUMBER(M252),ISNUMBER(N252)),MOD(DEGREES(ATAN2(COS(RADIANS(M252))*SIN(RADIANS(F252))-SIN(RADIANS(M252))*COS(RADIANS(F252))*COS(RADIANS(G252-N252)),SIN(RADIANS(G252-N252))*COS(RADIANS(F252))))+360,360),"N/A")</f>
        <v>N/A</v>
      </c>
      <c r="AN252" s="2"/>
      <c r="AO252" s="2"/>
    </row>
    <row r="253" spans="1:41" x14ac:dyDescent="0.2">
      <c r="A253" s="4" t="s">
        <v>533</v>
      </c>
      <c r="B253" s="4" t="s">
        <v>126</v>
      </c>
      <c r="C253" s="5" t="s">
        <v>340</v>
      </c>
      <c r="D253" s="4" t="s">
        <v>70</v>
      </c>
      <c r="E253" s="4" t="s">
        <v>71</v>
      </c>
      <c r="F253" s="15">
        <v>41.620699999999999</v>
      </c>
      <c r="G253" s="15">
        <v>17.473299999999998</v>
      </c>
      <c r="H253" s="16">
        <v>-1126</v>
      </c>
      <c r="I253" s="4" t="s">
        <v>543</v>
      </c>
      <c r="J253" s="4" t="s">
        <v>16</v>
      </c>
      <c r="K253" s="6">
        <v>40.820999999999998</v>
      </c>
      <c r="L253" s="6">
        <v>14.426</v>
      </c>
      <c r="M253" s="5" t="s">
        <v>340</v>
      </c>
      <c r="N253" s="5" t="s">
        <v>340</v>
      </c>
      <c r="O253" s="4" t="s">
        <v>229</v>
      </c>
      <c r="P253" s="5">
        <v>17</v>
      </c>
      <c r="Q253" s="5">
        <v>9999</v>
      </c>
      <c r="R253" s="4" t="s">
        <v>41</v>
      </c>
      <c r="S253" s="4" t="s">
        <v>1121</v>
      </c>
      <c r="T253" s="12">
        <v>8723</v>
      </c>
      <c r="U253" s="7">
        <v>8866</v>
      </c>
      <c r="V253" s="12">
        <v>9009</v>
      </c>
      <c r="W253" s="15" t="s">
        <v>1091</v>
      </c>
      <c r="X253" s="21" t="s">
        <v>1360</v>
      </c>
      <c r="Y253" s="7">
        <v>8010</v>
      </c>
      <c r="Z253" s="7">
        <v>35</v>
      </c>
      <c r="AA253" s="7" t="s">
        <v>340</v>
      </c>
      <c r="AB253" s="7" t="s">
        <v>340</v>
      </c>
      <c r="AC253" s="7">
        <v>9680</v>
      </c>
      <c r="AD253" s="7">
        <v>480</v>
      </c>
      <c r="AE253" s="7" t="s">
        <v>340</v>
      </c>
      <c r="AF253" s="7" t="s">
        <v>340</v>
      </c>
      <c r="AG253" s="7" t="s">
        <v>340</v>
      </c>
      <c r="AH253" s="5">
        <v>1</v>
      </c>
      <c r="AI253" s="5">
        <v>1</v>
      </c>
      <c r="AJ253" s="9">
        <f>IF(AND(ISNUMBER(F253),ISNUMBER(G253),ISNUMBER(K253),ISNUMBER(L253)),ACOS(MIN(1,COS(RADIANS(90-F253))*COS(RADIANS(90-K253))+SIN(RADIANS(90-F253))*SIN(RADIANS(90-K253))*COS(RADIANS(G253-L253))))*6371,"N/A")</f>
        <v>269.91840540293151</v>
      </c>
      <c r="AK253" s="10">
        <f>IF(AND(ISNUMBER(F253),ISNUMBER(G253),ISNUMBER(K253),ISNUMBER(L253)),MOD(DEGREES(ATAN2(COS(RADIANS(K253))*SIN(RADIANS(F253))-SIN(RADIANS(K253))*COS(RADIANS(F253))*COS(RADIANS(G253-L253)),SIN(RADIANS(G253-L253))*COS(RADIANS(F253))))+360,360),"N/A")</f>
        <v>69.766609664024827</v>
      </c>
      <c r="AL253" s="10" t="str">
        <f>IF(AND(ISNUMBER(F253),ISNUMBER(G253),ISNUMBER(M253),ISNUMBER(N253)),ACOS(MIN(1,COS(RADIANS(90-F253))*COS(RADIANS(90-M253))+SIN(RADIANS(90-F253))*SIN(RADIANS(90-M253))*COS(RADIANS(G253-N253))))*6371,"N/A")</f>
        <v>N/A</v>
      </c>
      <c r="AM253" s="10" t="str">
        <f>IF(AND(ISNUMBER(F253),ISNUMBER(G253),ISNUMBER(M253),ISNUMBER(N253)),MOD(DEGREES(ATAN2(COS(RADIANS(M253))*SIN(RADIANS(F253))-SIN(RADIANS(M253))*COS(RADIANS(F253))*COS(RADIANS(G253-N253)),SIN(RADIANS(G253-N253))*COS(RADIANS(F253))))+360,360),"N/A")</f>
        <v>N/A</v>
      </c>
      <c r="AN253" s="2"/>
      <c r="AO253" s="2"/>
    </row>
    <row r="254" spans="1:41" x14ac:dyDescent="0.2">
      <c r="A254" s="4" t="s">
        <v>542</v>
      </c>
      <c r="B254" s="4" t="s">
        <v>126</v>
      </c>
      <c r="C254" s="5" t="s">
        <v>340</v>
      </c>
      <c r="D254" s="4" t="s">
        <v>70</v>
      </c>
      <c r="E254" s="4" t="s">
        <v>71</v>
      </c>
      <c r="F254" s="15">
        <v>41.620699999999999</v>
      </c>
      <c r="G254" s="15">
        <v>17.473299999999998</v>
      </c>
      <c r="H254" s="16">
        <v>-1126</v>
      </c>
      <c r="I254" s="4" t="s">
        <v>543</v>
      </c>
      <c r="J254" s="4" t="s">
        <v>16</v>
      </c>
      <c r="K254" s="6">
        <v>40.820999999999998</v>
      </c>
      <c r="L254" s="6">
        <v>14.426</v>
      </c>
      <c r="M254" s="5" t="s">
        <v>340</v>
      </c>
      <c r="N254" s="5" t="s">
        <v>340</v>
      </c>
      <c r="O254" s="4" t="s">
        <v>295</v>
      </c>
      <c r="P254" s="5">
        <v>33</v>
      </c>
      <c r="Q254" s="5">
        <v>9999</v>
      </c>
      <c r="R254" s="4" t="s">
        <v>41</v>
      </c>
      <c r="S254" s="4" t="s">
        <v>1121</v>
      </c>
      <c r="T254" s="7">
        <v>21147</v>
      </c>
      <c r="U254" s="7">
        <v>21840</v>
      </c>
      <c r="V254" s="7">
        <v>22339</v>
      </c>
      <c r="W254" s="15" t="s">
        <v>1329</v>
      </c>
      <c r="X254" s="15" t="s">
        <v>1050</v>
      </c>
      <c r="Y254" s="7">
        <v>18220</v>
      </c>
      <c r="Z254" s="7">
        <v>140</v>
      </c>
      <c r="AA254" s="7" t="s">
        <v>340</v>
      </c>
      <c r="AB254" s="7" t="s">
        <v>340</v>
      </c>
      <c r="AC254" s="7">
        <v>19280</v>
      </c>
      <c r="AD254" s="7">
        <v>960</v>
      </c>
      <c r="AE254" s="7">
        <v>21840</v>
      </c>
      <c r="AF254" s="7" t="s">
        <v>938</v>
      </c>
      <c r="AG254" s="7" t="s">
        <v>340</v>
      </c>
      <c r="AH254" s="5">
        <v>1</v>
      </c>
      <c r="AI254" s="5">
        <v>1</v>
      </c>
      <c r="AJ254" s="9">
        <f>IF(AND(ISNUMBER(F254),ISNUMBER(G254),ISNUMBER(K254),ISNUMBER(L254)),ACOS(MIN(1,COS(RADIANS(90-F254))*COS(RADIANS(90-K254))+SIN(RADIANS(90-F254))*SIN(RADIANS(90-K254))*COS(RADIANS(G254-L254))))*6371,"N/A")</f>
        <v>269.91840540293151</v>
      </c>
      <c r="AK254" s="10">
        <f>IF(AND(ISNUMBER(F254),ISNUMBER(G254),ISNUMBER(K254),ISNUMBER(L254)),MOD(DEGREES(ATAN2(COS(RADIANS(K254))*SIN(RADIANS(F254))-SIN(RADIANS(K254))*COS(RADIANS(F254))*COS(RADIANS(G254-L254)),SIN(RADIANS(G254-L254))*COS(RADIANS(F254))))+360,360),"N/A")</f>
        <v>69.766609664024827</v>
      </c>
      <c r="AL254" s="10" t="str">
        <f>IF(AND(ISNUMBER(F254),ISNUMBER(G254),ISNUMBER(M254),ISNUMBER(N254)),ACOS(MIN(1,COS(RADIANS(90-F254))*COS(RADIANS(90-M254))+SIN(RADIANS(90-F254))*SIN(RADIANS(90-M254))*COS(RADIANS(G254-N254))))*6371,"N/A")</f>
        <v>N/A</v>
      </c>
      <c r="AM254" s="10" t="str">
        <f>IF(AND(ISNUMBER(F254),ISNUMBER(G254),ISNUMBER(M254),ISNUMBER(N254)),MOD(DEGREES(ATAN2(COS(RADIANS(M254))*SIN(RADIANS(F254))-SIN(RADIANS(M254))*COS(RADIANS(F254))*COS(RADIANS(G254-N254)),SIN(RADIANS(G254-N254))*COS(RADIANS(F254))))+360,360),"N/A")</f>
        <v>N/A</v>
      </c>
      <c r="AN254" s="2"/>
      <c r="AO254" s="2"/>
    </row>
    <row r="255" spans="1:41" x14ac:dyDescent="0.2">
      <c r="A255" s="4" t="s">
        <v>538</v>
      </c>
      <c r="B255" s="4" t="s">
        <v>126</v>
      </c>
      <c r="C255" s="5" t="s">
        <v>340</v>
      </c>
      <c r="D255" s="4" t="s">
        <v>70</v>
      </c>
      <c r="E255" s="4" t="s">
        <v>71</v>
      </c>
      <c r="F255" s="15">
        <v>41.620699999999999</v>
      </c>
      <c r="G255" s="15">
        <v>17.473299999999998</v>
      </c>
      <c r="H255" s="16">
        <v>-1126</v>
      </c>
      <c r="I255" s="4" t="s">
        <v>543</v>
      </c>
      <c r="J255" s="4" t="s">
        <v>15</v>
      </c>
      <c r="K255" s="6">
        <v>40.826999999999998</v>
      </c>
      <c r="L255" s="6">
        <v>14.138999999999999</v>
      </c>
      <c r="M255" s="5" t="s">
        <v>340</v>
      </c>
      <c r="N255" s="5" t="s">
        <v>340</v>
      </c>
      <c r="O255" s="4" t="s">
        <v>445</v>
      </c>
      <c r="P255" s="5">
        <v>12</v>
      </c>
      <c r="Q255" s="5" t="s">
        <v>1025</v>
      </c>
      <c r="R255" s="4" t="s">
        <v>698</v>
      </c>
      <c r="S255" s="4" t="s">
        <v>1121</v>
      </c>
      <c r="T255" s="7">
        <v>15346</v>
      </c>
      <c r="U255" s="7">
        <v>15644</v>
      </c>
      <c r="V255" s="7">
        <v>15941</v>
      </c>
      <c r="W255" s="15" t="s">
        <v>1091</v>
      </c>
      <c r="X255" s="15" t="s">
        <v>1364</v>
      </c>
      <c r="Y255" s="7">
        <v>13070</v>
      </c>
      <c r="Z255" s="7">
        <v>90</v>
      </c>
      <c r="AA255" s="7" t="s">
        <v>340</v>
      </c>
      <c r="AB255" s="7" t="s">
        <v>340</v>
      </c>
      <c r="AC255" s="7" t="s">
        <v>340</v>
      </c>
      <c r="AD255" s="7" t="s">
        <v>340</v>
      </c>
      <c r="AE255" s="7" t="s">
        <v>340</v>
      </c>
      <c r="AF255" s="7" t="s">
        <v>340</v>
      </c>
      <c r="AG255" s="7" t="s">
        <v>340</v>
      </c>
      <c r="AH255" s="5">
        <v>1</v>
      </c>
      <c r="AI255" s="5">
        <v>1</v>
      </c>
      <c r="AJ255" s="9">
        <f>IF(AND(ISNUMBER(F255),ISNUMBER(G255),ISNUMBER(K255),ISNUMBER(L255)),ACOS(MIN(1,COS(RADIANS(90-F255))*COS(RADIANS(90-K255))+SIN(RADIANS(90-F255))*SIN(RADIANS(90-K255))*COS(RADIANS(G255-L255))))*6371,"N/A")</f>
        <v>292.47079934979007</v>
      </c>
      <c r="AK255" s="10">
        <f>IF(AND(ISNUMBER(F255),ISNUMBER(G255),ISNUMBER(K255),ISNUMBER(L255)),MOD(DEGREES(ATAN2(COS(RADIANS(K255))*SIN(RADIANS(F255))-SIN(RADIANS(K255))*COS(RADIANS(F255))*COS(RADIANS(G255-L255)),SIN(RADIANS(G255-L255))*COS(RADIANS(F255))))+360,360),"N/A")</f>
        <v>71.344146106215931</v>
      </c>
      <c r="AL255" s="10" t="str">
        <f>IF(AND(ISNUMBER(F255),ISNUMBER(G255),ISNUMBER(M255),ISNUMBER(N255)),ACOS(MIN(1,COS(RADIANS(90-F255))*COS(RADIANS(90-M255))+SIN(RADIANS(90-F255))*SIN(RADIANS(90-M255))*COS(RADIANS(G255-N255))))*6371,"N/A")</f>
        <v>N/A</v>
      </c>
      <c r="AM255" s="10" t="str">
        <f>IF(AND(ISNUMBER(F255),ISNUMBER(G255),ISNUMBER(M255),ISNUMBER(N255)),MOD(DEGREES(ATAN2(COS(RADIANS(M255))*SIN(RADIANS(F255))-SIN(RADIANS(M255))*COS(RADIANS(F255))*COS(RADIANS(G255-N255)),SIN(RADIANS(G255-N255))*COS(RADIANS(F255))))+360,360),"N/A")</f>
        <v>N/A</v>
      </c>
      <c r="AN255" s="2"/>
      <c r="AO255" s="2"/>
    </row>
    <row r="256" spans="1:41" x14ac:dyDescent="0.2">
      <c r="A256" s="4" t="s">
        <v>529</v>
      </c>
      <c r="B256" s="4" t="s">
        <v>126</v>
      </c>
      <c r="C256" s="5" t="s">
        <v>340</v>
      </c>
      <c r="D256" s="4" t="s">
        <v>70</v>
      </c>
      <c r="E256" s="4" t="s">
        <v>71</v>
      </c>
      <c r="F256" s="15">
        <v>41.620699999999999</v>
      </c>
      <c r="G256" s="15">
        <v>17.473299999999998</v>
      </c>
      <c r="H256" s="16">
        <v>-1126</v>
      </c>
      <c r="I256" s="4" t="s">
        <v>543</v>
      </c>
      <c r="J256" s="4" t="s">
        <v>15</v>
      </c>
      <c r="K256" s="6">
        <v>40.826999999999998</v>
      </c>
      <c r="L256" s="6">
        <v>14.138999999999999</v>
      </c>
      <c r="M256" s="5" t="s">
        <v>340</v>
      </c>
      <c r="N256" s="5" t="s">
        <v>340</v>
      </c>
      <c r="O256" s="4" t="s">
        <v>932</v>
      </c>
      <c r="P256" s="5">
        <v>15</v>
      </c>
      <c r="Q256" s="5" t="s">
        <v>1026</v>
      </c>
      <c r="R256" s="4" t="s">
        <v>698</v>
      </c>
      <c r="S256" s="4" t="s">
        <v>1121</v>
      </c>
      <c r="T256" s="7">
        <v>4748</v>
      </c>
      <c r="U256" s="7">
        <v>5035</v>
      </c>
      <c r="V256" s="7">
        <v>5322</v>
      </c>
      <c r="W256" s="15" t="s">
        <v>1111</v>
      </c>
      <c r="X256" s="15" t="s">
        <v>1357</v>
      </c>
      <c r="Y256" s="7" t="s">
        <v>340</v>
      </c>
      <c r="Z256" s="7" t="s">
        <v>340</v>
      </c>
      <c r="AA256" s="7" t="s">
        <v>340</v>
      </c>
      <c r="AB256" s="7" t="s">
        <v>340</v>
      </c>
      <c r="AC256" s="7" t="s">
        <v>340</v>
      </c>
      <c r="AD256" s="7" t="s">
        <v>340</v>
      </c>
      <c r="AE256" s="7">
        <v>5035</v>
      </c>
      <c r="AF256" s="7">
        <v>287</v>
      </c>
      <c r="AG256" s="7" t="s">
        <v>340</v>
      </c>
      <c r="AH256" s="5">
        <v>1</v>
      </c>
      <c r="AI256" s="5">
        <v>1</v>
      </c>
      <c r="AJ256" s="9">
        <f>IF(AND(ISNUMBER(F256),ISNUMBER(G256),ISNUMBER(K256),ISNUMBER(L256)),ACOS(MIN(1,COS(RADIANS(90-F256))*COS(RADIANS(90-K256))+SIN(RADIANS(90-F256))*SIN(RADIANS(90-K256))*COS(RADIANS(G256-L256))))*6371,"N/A")</f>
        <v>292.47079934979007</v>
      </c>
      <c r="AK256" s="10">
        <f>IF(AND(ISNUMBER(F256),ISNUMBER(G256),ISNUMBER(K256),ISNUMBER(L256)),MOD(DEGREES(ATAN2(COS(RADIANS(K256))*SIN(RADIANS(F256))-SIN(RADIANS(K256))*COS(RADIANS(F256))*COS(RADIANS(G256-L256)),SIN(RADIANS(G256-L256))*COS(RADIANS(F256))))+360,360),"N/A")</f>
        <v>71.344146106215931</v>
      </c>
      <c r="AL256" s="10" t="str">
        <f>IF(AND(ISNUMBER(F256),ISNUMBER(G256),ISNUMBER(M256),ISNUMBER(N256)),ACOS(MIN(1,COS(RADIANS(90-F256))*COS(RADIANS(90-M256))+SIN(RADIANS(90-F256))*SIN(RADIANS(90-M256))*COS(RADIANS(G256-N256))))*6371,"N/A")</f>
        <v>N/A</v>
      </c>
      <c r="AM256" s="10" t="str">
        <f>IF(AND(ISNUMBER(F256),ISNUMBER(G256),ISNUMBER(M256),ISNUMBER(N256)),MOD(DEGREES(ATAN2(COS(RADIANS(M256))*SIN(RADIANS(F256))-SIN(RADIANS(M256))*COS(RADIANS(F256))*COS(RADIANS(G256-N256)),SIN(RADIANS(G256-N256))*COS(RADIANS(F256))))+360,360),"N/A")</f>
        <v>N/A</v>
      </c>
      <c r="AN256" s="2"/>
      <c r="AO256" s="2"/>
    </row>
    <row r="257" spans="1:41" x14ac:dyDescent="0.2">
      <c r="A257" s="4" t="s">
        <v>502</v>
      </c>
      <c r="B257" s="4" t="s">
        <v>497</v>
      </c>
      <c r="C257" s="5" t="s">
        <v>340</v>
      </c>
      <c r="D257" s="4" t="s">
        <v>29</v>
      </c>
      <c r="E257" s="4" t="s">
        <v>498</v>
      </c>
      <c r="F257" s="15">
        <v>39.650583330000003</v>
      </c>
      <c r="G257" s="15">
        <v>20.914983329999998</v>
      </c>
      <c r="H257" s="16">
        <v>470</v>
      </c>
      <c r="I257" s="4" t="s">
        <v>499</v>
      </c>
      <c r="J257" s="4" t="s">
        <v>53</v>
      </c>
      <c r="K257" s="6">
        <v>38.49</v>
      </c>
      <c r="L257" s="6">
        <v>14.933</v>
      </c>
      <c r="M257" s="5" t="s">
        <v>340</v>
      </c>
      <c r="N257" s="5" t="s">
        <v>340</v>
      </c>
      <c r="O257" s="4" t="s">
        <v>444</v>
      </c>
      <c r="P257" s="5">
        <v>19</v>
      </c>
      <c r="Q257" s="5" t="s">
        <v>506</v>
      </c>
      <c r="R257" s="4" t="s">
        <v>184</v>
      </c>
      <c r="S257" s="4" t="s">
        <v>1121</v>
      </c>
      <c r="T257" s="7">
        <v>7839</v>
      </c>
      <c r="U257" s="7">
        <v>8064</v>
      </c>
      <c r="V257" s="7">
        <v>8288</v>
      </c>
      <c r="W257" s="15" t="s">
        <v>1347</v>
      </c>
      <c r="X257" s="15" t="s">
        <v>1363</v>
      </c>
      <c r="Y257" s="7">
        <v>7770</v>
      </c>
      <c r="Z257" s="7">
        <v>70</v>
      </c>
      <c r="AA257" s="7" t="s">
        <v>340</v>
      </c>
      <c r="AB257" s="7" t="s">
        <v>340</v>
      </c>
      <c r="AC257" s="7" t="s">
        <v>340</v>
      </c>
      <c r="AD257" s="7" t="s">
        <v>340</v>
      </c>
      <c r="AE257" s="7" t="s">
        <v>340</v>
      </c>
      <c r="AF257" s="7" t="s">
        <v>340</v>
      </c>
      <c r="AG257" s="7" t="s">
        <v>340</v>
      </c>
      <c r="AH257" s="5">
        <v>1</v>
      </c>
      <c r="AI257" s="5">
        <v>1</v>
      </c>
      <c r="AJ257" s="9">
        <f>IF(AND(ISNUMBER(F257),ISNUMBER(G257),ISNUMBER(K257),ISNUMBER(L257)),ACOS(MIN(1,COS(RADIANS(90-F257))*COS(RADIANS(90-K257))+SIN(RADIANS(90-F257))*SIN(RADIANS(90-K257))*COS(RADIANS(G257-L257))))*6371,"N/A")</f>
        <v>532.18186335263215</v>
      </c>
      <c r="AK257" s="10">
        <f>IF(AND(ISNUMBER(F257),ISNUMBER(G257),ISNUMBER(K257),ISNUMBER(L257)),MOD(DEGREES(ATAN2(COS(RADIANS(K257))*SIN(RADIANS(F257))-SIN(RADIANS(K257))*COS(RADIANS(F257))*COS(RADIANS(G257-L257)),SIN(RADIANS(G257-L257))*COS(RADIANS(F257))))+360,360),"N/A")</f>
        <v>74.095529983501251</v>
      </c>
      <c r="AL257" s="10" t="str">
        <f>IF(AND(ISNUMBER(F257),ISNUMBER(G257),ISNUMBER(M257),ISNUMBER(N257)),ACOS(MIN(1,COS(RADIANS(90-F257))*COS(RADIANS(90-M257))+SIN(RADIANS(90-F257))*SIN(RADIANS(90-M257))*COS(RADIANS(G257-N257))))*6371,"N/A")</f>
        <v>N/A</v>
      </c>
      <c r="AM257" s="10" t="str">
        <f>IF(AND(ISNUMBER(F257),ISNUMBER(G257),ISNUMBER(M257),ISNUMBER(N257)),MOD(DEGREES(ATAN2(COS(RADIANS(M257))*SIN(RADIANS(F257))-SIN(RADIANS(M257))*COS(RADIANS(F257))*COS(RADIANS(G257-N257)),SIN(RADIANS(G257-N257))*COS(RADIANS(F257))))+360,360),"N/A")</f>
        <v>N/A</v>
      </c>
      <c r="AN257" s="2"/>
      <c r="AO257" s="2"/>
    </row>
    <row r="258" spans="1:41" x14ac:dyDescent="0.2">
      <c r="A258" s="4" t="s">
        <v>501</v>
      </c>
      <c r="B258" s="4" t="s">
        <v>497</v>
      </c>
      <c r="C258" s="5" t="s">
        <v>340</v>
      </c>
      <c r="D258" s="4" t="s">
        <v>29</v>
      </c>
      <c r="E258" s="4" t="s">
        <v>498</v>
      </c>
      <c r="F258" s="15">
        <v>39.650583330000003</v>
      </c>
      <c r="G258" s="15">
        <v>20.914983329999998</v>
      </c>
      <c r="H258" s="16">
        <v>470</v>
      </c>
      <c r="I258" s="4" t="s">
        <v>499</v>
      </c>
      <c r="J258" s="4" t="s">
        <v>53</v>
      </c>
      <c r="K258" s="6">
        <v>38.49</v>
      </c>
      <c r="L258" s="6">
        <v>14.933</v>
      </c>
      <c r="M258" s="5" t="s">
        <v>340</v>
      </c>
      <c r="N258" s="5" t="s">
        <v>340</v>
      </c>
      <c r="O258" s="4" t="s">
        <v>14</v>
      </c>
      <c r="P258" s="5">
        <v>5</v>
      </c>
      <c r="Q258" s="5" t="s">
        <v>505</v>
      </c>
      <c r="R258" s="4" t="s">
        <v>184</v>
      </c>
      <c r="S258" s="4" t="s">
        <v>1121</v>
      </c>
      <c r="T258" s="7">
        <v>8520</v>
      </c>
      <c r="U258" s="7">
        <v>9585</v>
      </c>
      <c r="V258" s="7">
        <v>10650</v>
      </c>
      <c r="W258" s="15" t="s">
        <v>911</v>
      </c>
      <c r="X258" s="15" t="s">
        <v>499</v>
      </c>
      <c r="Y258" s="7" t="s">
        <v>340</v>
      </c>
      <c r="Z258" s="7" t="s">
        <v>340</v>
      </c>
      <c r="AA258" s="7" t="s">
        <v>340</v>
      </c>
      <c r="AB258" s="7" t="s">
        <v>340</v>
      </c>
      <c r="AC258" s="7" t="s">
        <v>340</v>
      </c>
      <c r="AD258" s="7" t="s">
        <v>340</v>
      </c>
      <c r="AE258" s="7">
        <v>9585</v>
      </c>
      <c r="AF258" s="7">
        <v>1065</v>
      </c>
      <c r="AG258" s="7" t="s">
        <v>340</v>
      </c>
      <c r="AH258" s="5">
        <v>1</v>
      </c>
      <c r="AI258" s="5">
        <v>1</v>
      </c>
      <c r="AJ258" s="9">
        <f>IF(AND(ISNUMBER(F258),ISNUMBER(G258),ISNUMBER(K258),ISNUMBER(L258)),ACOS(MIN(1,COS(RADIANS(90-F258))*COS(RADIANS(90-K258))+SIN(RADIANS(90-F258))*SIN(RADIANS(90-K258))*COS(RADIANS(G258-L258))))*6371,"N/A")</f>
        <v>532.18186335263215</v>
      </c>
      <c r="AK258" s="10">
        <f>IF(AND(ISNUMBER(F258),ISNUMBER(G258),ISNUMBER(K258),ISNUMBER(L258)),MOD(DEGREES(ATAN2(COS(RADIANS(K258))*SIN(RADIANS(F258))-SIN(RADIANS(K258))*COS(RADIANS(F258))*COS(RADIANS(G258-L258)),SIN(RADIANS(G258-L258))*COS(RADIANS(F258))))+360,360),"N/A")</f>
        <v>74.095529983501251</v>
      </c>
      <c r="AL258" s="10" t="str">
        <f>IF(AND(ISNUMBER(F258),ISNUMBER(G258),ISNUMBER(M258),ISNUMBER(N258)),ACOS(MIN(1,COS(RADIANS(90-F258))*COS(RADIANS(90-M258))+SIN(RADIANS(90-F258))*SIN(RADIANS(90-M258))*COS(RADIANS(G258-N258))))*6371,"N/A")</f>
        <v>N/A</v>
      </c>
      <c r="AM258" s="10" t="str">
        <f>IF(AND(ISNUMBER(F258),ISNUMBER(G258),ISNUMBER(M258),ISNUMBER(N258)),MOD(DEGREES(ATAN2(COS(RADIANS(M258))*SIN(RADIANS(F258))-SIN(RADIANS(M258))*COS(RADIANS(F258))*COS(RADIANS(G258-N258)),SIN(RADIANS(G258-N258))*COS(RADIANS(F258))))+360,360),"N/A")</f>
        <v>N/A</v>
      </c>
      <c r="AN258" s="2"/>
      <c r="AO258" s="2"/>
    </row>
    <row r="259" spans="1:41" x14ac:dyDescent="0.2">
      <c r="A259" s="4" t="s">
        <v>500</v>
      </c>
      <c r="B259" s="4" t="s">
        <v>497</v>
      </c>
      <c r="C259" s="5" t="s">
        <v>340</v>
      </c>
      <c r="D259" s="4" t="s">
        <v>29</v>
      </c>
      <c r="E259" s="4" t="s">
        <v>498</v>
      </c>
      <c r="F259" s="15">
        <v>39.650583330000003</v>
      </c>
      <c r="G259" s="15">
        <v>20.914983329999998</v>
      </c>
      <c r="H259" s="16">
        <v>470</v>
      </c>
      <c r="I259" s="4" t="s">
        <v>499</v>
      </c>
      <c r="J259" s="4" t="s">
        <v>53</v>
      </c>
      <c r="K259" s="6">
        <v>38.49</v>
      </c>
      <c r="L259" s="6">
        <v>14.933</v>
      </c>
      <c r="M259" s="5" t="s">
        <v>340</v>
      </c>
      <c r="N259" s="5" t="s">
        <v>340</v>
      </c>
      <c r="O259" s="4" t="s">
        <v>14</v>
      </c>
      <c r="P259" s="5">
        <v>12</v>
      </c>
      <c r="Q259" s="5" t="s">
        <v>504</v>
      </c>
      <c r="R259" s="4" t="s">
        <v>184</v>
      </c>
      <c r="S259" s="4" t="s">
        <v>912</v>
      </c>
      <c r="T259" s="7">
        <v>10210</v>
      </c>
      <c r="U259" s="7">
        <v>11335</v>
      </c>
      <c r="V259" s="7">
        <v>12460</v>
      </c>
      <c r="W259" s="15" t="s">
        <v>911</v>
      </c>
      <c r="X259" s="15" t="s">
        <v>499</v>
      </c>
      <c r="Y259" s="7" t="s">
        <v>340</v>
      </c>
      <c r="Z259" s="7" t="s">
        <v>340</v>
      </c>
      <c r="AA259" s="7" t="s">
        <v>340</v>
      </c>
      <c r="AB259" s="7" t="s">
        <v>340</v>
      </c>
      <c r="AC259" s="7" t="s">
        <v>340</v>
      </c>
      <c r="AD259" s="7" t="s">
        <v>340</v>
      </c>
      <c r="AE259" s="7">
        <v>11335</v>
      </c>
      <c r="AF259" s="7">
        <v>1125</v>
      </c>
      <c r="AG259" s="7" t="s">
        <v>340</v>
      </c>
      <c r="AH259" s="5">
        <v>1</v>
      </c>
      <c r="AI259" s="5">
        <v>1</v>
      </c>
      <c r="AJ259" s="9">
        <f>IF(AND(ISNUMBER(F259),ISNUMBER(G259),ISNUMBER(K259),ISNUMBER(L259)),ACOS(MIN(1,COS(RADIANS(90-F259))*COS(RADIANS(90-K259))+SIN(RADIANS(90-F259))*SIN(RADIANS(90-K259))*COS(RADIANS(G259-L259))))*6371,"N/A")</f>
        <v>532.18186335263215</v>
      </c>
      <c r="AK259" s="10">
        <f>IF(AND(ISNUMBER(F259),ISNUMBER(G259),ISNUMBER(K259),ISNUMBER(L259)),MOD(DEGREES(ATAN2(COS(RADIANS(K259))*SIN(RADIANS(F259))-SIN(RADIANS(K259))*COS(RADIANS(F259))*COS(RADIANS(G259-L259)),SIN(RADIANS(G259-L259))*COS(RADIANS(F259))))+360,360),"N/A")</f>
        <v>74.095529983501251</v>
      </c>
      <c r="AL259" s="10" t="str">
        <f>IF(AND(ISNUMBER(F259),ISNUMBER(G259),ISNUMBER(M259),ISNUMBER(N259)),ACOS(MIN(1,COS(RADIANS(90-F259))*COS(RADIANS(90-M259))+SIN(RADIANS(90-F259))*SIN(RADIANS(90-M259))*COS(RADIANS(G259-N259))))*6371,"N/A")</f>
        <v>N/A</v>
      </c>
      <c r="AM259" s="10" t="str">
        <f>IF(AND(ISNUMBER(F259),ISNUMBER(G259),ISNUMBER(M259),ISNUMBER(N259)),MOD(DEGREES(ATAN2(COS(RADIANS(M259))*SIN(RADIANS(F259))-SIN(RADIANS(M259))*COS(RADIANS(F259))*COS(RADIANS(G259-N259)),SIN(RADIANS(G259-N259))*COS(RADIANS(F259))))+360,360),"N/A")</f>
        <v>N/A</v>
      </c>
      <c r="AN259" s="2"/>
      <c r="AO259" s="2"/>
    </row>
    <row r="260" spans="1:41" x14ac:dyDescent="0.2">
      <c r="A260" s="4" t="s">
        <v>725</v>
      </c>
      <c r="B260" s="4" t="s">
        <v>722</v>
      </c>
      <c r="C260" s="5" t="s">
        <v>340</v>
      </c>
      <c r="D260" s="4" t="s">
        <v>70</v>
      </c>
      <c r="E260" s="4" t="s">
        <v>665</v>
      </c>
      <c r="F260" s="15">
        <v>39.756999999999998</v>
      </c>
      <c r="G260" s="15">
        <v>17.892199999999999</v>
      </c>
      <c r="H260" s="16">
        <v>-170</v>
      </c>
      <c r="I260" s="4" t="s">
        <v>984</v>
      </c>
      <c r="J260" s="4" t="s">
        <v>53</v>
      </c>
      <c r="K260" s="6">
        <v>38.49</v>
      </c>
      <c r="L260" s="6">
        <v>14.933</v>
      </c>
      <c r="M260" s="5" t="s">
        <v>340</v>
      </c>
      <c r="N260" s="5" t="s">
        <v>340</v>
      </c>
      <c r="O260" s="4" t="s">
        <v>439</v>
      </c>
      <c r="P260" s="5">
        <v>15</v>
      </c>
      <c r="Q260" s="5" t="s">
        <v>340</v>
      </c>
      <c r="R260" s="4" t="s">
        <v>184</v>
      </c>
      <c r="S260" s="4" t="s">
        <v>1121</v>
      </c>
      <c r="T260" s="7">
        <v>1070</v>
      </c>
      <c r="U260" s="7">
        <v>1173</v>
      </c>
      <c r="V260" s="7">
        <v>1275</v>
      </c>
      <c r="W260" s="15" t="s">
        <v>1092</v>
      </c>
      <c r="X260" s="15" t="s">
        <v>1362</v>
      </c>
      <c r="Y260" s="7" t="s">
        <v>340</v>
      </c>
      <c r="Z260" s="7" t="s">
        <v>340</v>
      </c>
      <c r="AA260" s="7" t="s">
        <v>340</v>
      </c>
      <c r="AB260" s="7" t="s">
        <v>340</v>
      </c>
      <c r="AC260" s="7" t="s">
        <v>340</v>
      </c>
      <c r="AD260" s="7" t="s">
        <v>340</v>
      </c>
      <c r="AE260" s="7" t="s">
        <v>340</v>
      </c>
      <c r="AF260" s="7" t="s">
        <v>340</v>
      </c>
      <c r="AG260" s="7" t="s">
        <v>340</v>
      </c>
      <c r="AH260" s="5">
        <v>1</v>
      </c>
      <c r="AI260" s="5">
        <v>1</v>
      </c>
      <c r="AJ260" s="9">
        <f>IF(AND(ISNUMBER(F260),ISNUMBER(G260),ISNUMBER(K260),ISNUMBER(L260)),ACOS(MIN(1,COS(RADIANS(90-F260))*COS(RADIANS(90-K260))+SIN(RADIANS(90-F260))*SIN(RADIANS(90-K260))*COS(RADIANS(G260-L260))))*6371,"N/A")</f>
        <v>291.54431604523938</v>
      </c>
      <c r="AK260" s="10">
        <f>IF(AND(ISNUMBER(F260),ISNUMBER(G260),ISNUMBER(K260),ISNUMBER(L260)),MOD(DEGREES(ATAN2(COS(RADIANS(K260))*SIN(RADIANS(F260))-SIN(RADIANS(K260))*COS(RADIANS(F260))*COS(RADIANS(G260-L260)),SIN(RADIANS(G260-L260))*COS(RADIANS(F260))))+360,360),"N/A")</f>
        <v>60.177829733223405</v>
      </c>
      <c r="AL260" s="10" t="str">
        <f>IF(AND(ISNUMBER(F260),ISNUMBER(G260),ISNUMBER(M260),ISNUMBER(N260)),ACOS(MIN(1,COS(RADIANS(90-F260))*COS(RADIANS(90-M260))+SIN(RADIANS(90-F260))*SIN(RADIANS(90-M260))*COS(RADIANS(G260-N260))))*6371,"N/A")</f>
        <v>N/A</v>
      </c>
      <c r="AM260" s="10" t="str">
        <f>IF(AND(ISNUMBER(F260),ISNUMBER(G260),ISNUMBER(M260),ISNUMBER(N260)),MOD(DEGREES(ATAN2(COS(RADIANS(M260))*SIN(RADIANS(F260))-SIN(RADIANS(M260))*COS(RADIANS(F260))*COS(RADIANS(G260-N260)),SIN(RADIANS(G260-N260))*COS(RADIANS(F260))))+360,360),"N/A")</f>
        <v>N/A</v>
      </c>
      <c r="AN260" s="2"/>
      <c r="AO260" s="2"/>
    </row>
    <row r="261" spans="1:41" x14ac:dyDescent="0.2">
      <c r="A261" s="4" t="s">
        <v>724</v>
      </c>
      <c r="B261" s="4" t="s">
        <v>722</v>
      </c>
      <c r="C261" s="5" t="s">
        <v>340</v>
      </c>
      <c r="D261" s="4" t="s">
        <v>70</v>
      </c>
      <c r="E261" s="4" t="s">
        <v>665</v>
      </c>
      <c r="F261" s="15">
        <v>39.756999999999998</v>
      </c>
      <c r="G261" s="15">
        <v>17.892199999999999</v>
      </c>
      <c r="H261" s="16">
        <v>-170</v>
      </c>
      <c r="I261" s="4" t="s">
        <v>984</v>
      </c>
      <c r="J261" s="4" t="s">
        <v>16</v>
      </c>
      <c r="K261" s="6">
        <v>40.820999999999998</v>
      </c>
      <c r="L261" s="6">
        <v>14.426</v>
      </c>
      <c r="M261" s="5" t="s">
        <v>340</v>
      </c>
      <c r="N261" s="5" t="s">
        <v>340</v>
      </c>
      <c r="O261" s="4" t="s">
        <v>723</v>
      </c>
      <c r="P261" s="5">
        <v>10</v>
      </c>
      <c r="Q261" s="5" t="s">
        <v>441</v>
      </c>
      <c r="R261" s="4" t="s">
        <v>184</v>
      </c>
      <c r="S261" s="4" t="s">
        <v>1133</v>
      </c>
      <c r="T261" s="12">
        <v>6</v>
      </c>
      <c r="U261" s="7">
        <v>6</v>
      </c>
      <c r="V261" s="12">
        <v>6</v>
      </c>
      <c r="W261" s="15" t="s">
        <v>898</v>
      </c>
      <c r="X261" s="15" t="s">
        <v>906</v>
      </c>
      <c r="Y261" s="7" t="s">
        <v>340</v>
      </c>
      <c r="Z261" s="7" t="s">
        <v>340</v>
      </c>
      <c r="AA261" s="7" t="s">
        <v>340</v>
      </c>
      <c r="AB261" s="7" t="s">
        <v>340</v>
      </c>
      <c r="AC261" s="7" t="s">
        <v>340</v>
      </c>
      <c r="AD261" s="7" t="s">
        <v>340</v>
      </c>
      <c r="AE261" s="7" t="s">
        <v>340</v>
      </c>
      <c r="AF261" s="7" t="s">
        <v>340</v>
      </c>
      <c r="AG261" s="7" t="s">
        <v>894</v>
      </c>
      <c r="AH261" s="5">
        <v>1</v>
      </c>
      <c r="AI261" s="5">
        <v>1</v>
      </c>
      <c r="AJ261" s="9">
        <f>IF(AND(ISNUMBER(F261),ISNUMBER(G261),ISNUMBER(K261),ISNUMBER(L261)),ACOS(MIN(1,COS(RADIANS(90-F261))*COS(RADIANS(90-K261))+SIN(RADIANS(90-F261))*SIN(RADIANS(90-K261))*COS(RADIANS(G261-L261))))*6371,"N/A")</f>
        <v>316.88135899564372</v>
      </c>
      <c r="AK261" s="10">
        <f>IF(AND(ISNUMBER(F261),ISNUMBER(G261),ISNUMBER(K261),ISNUMBER(L261)),MOD(DEGREES(ATAN2(COS(RADIANS(K261))*SIN(RADIANS(F261))-SIN(RADIANS(K261))*COS(RADIANS(F261))*COS(RADIANS(G261-L261)),SIN(RADIANS(G261-L261))*COS(RADIANS(F261))))+360,360),"N/A")</f>
        <v>110.79365141356294</v>
      </c>
      <c r="AL261" s="10" t="str">
        <f>IF(AND(ISNUMBER(F261),ISNUMBER(G261),ISNUMBER(M261),ISNUMBER(N261)),ACOS(MIN(1,COS(RADIANS(90-F261))*COS(RADIANS(90-M261))+SIN(RADIANS(90-F261))*SIN(RADIANS(90-M261))*COS(RADIANS(G261-N261))))*6371,"N/A")</f>
        <v>N/A</v>
      </c>
      <c r="AM261" s="10" t="str">
        <f>IF(AND(ISNUMBER(F261),ISNUMBER(G261),ISNUMBER(M261),ISNUMBER(N261)),MOD(DEGREES(ATAN2(COS(RADIANS(M261))*SIN(RADIANS(F261))-SIN(RADIANS(M261))*COS(RADIANS(F261))*COS(RADIANS(G261-N261)),SIN(RADIANS(G261-N261))*COS(RADIANS(F261))))+360,360),"N/A")</f>
        <v>N/A</v>
      </c>
      <c r="AN261" s="2"/>
      <c r="AO261" s="2"/>
    </row>
    <row r="262" spans="1:41" x14ac:dyDescent="0.2">
      <c r="A262" s="4" t="s">
        <v>606</v>
      </c>
      <c r="B262" s="4" t="s">
        <v>604</v>
      </c>
      <c r="C262" s="5" t="s">
        <v>340</v>
      </c>
      <c r="D262" s="4" t="s">
        <v>29</v>
      </c>
      <c r="E262" s="4" t="s">
        <v>605</v>
      </c>
      <c r="F262" s="15">
        <v>40.973332999999997</v>
      </c>
      <c r="G262" s="15">
        <v>24.223889</v>
      </c>
      <c r="H262" s="16">
        <v>40</v>
      </c>
      <c r="I262" s="4" t="s">
        <v>626</v>
      </c>
      <c r="J262" s="4" t="s">
        <v>241</v>
      </c>
      <c r="K262" s="6">
        <v>36.404000000000003</v>
      </c>
      <c r="L262" s="6">
        <v>25.396000000000001</v>
      </c>
      <c r="M262" s="5" t="s">
        <v>340</v>
      </c>
      <c r="N262" s="5" t="s">
        <v>340</v>
      </c>
      <c r="O262" s="4" t="s">
        <v>246</v>
      </c>
      <c r="P262" s="5">
        <v>15</v>
      </c>
      <c r="Q262" s="5" t="s">
        <v>340</v>
      </c>
      <c r="R262" s="4" t="s">
        <v>41</v>
      </c>
      <c r="S262" s="4" t="s">
        <v>607</v>
      </c>
      <c r="T262" s="7">
        <v>21353</v>
      </c>
      <c r="U262" s="7">
        <v>22170</v>
      </c>
      <c r="V262" s="7">
        <v>22575</v>
      </c>
      <c r="W262" s="15" t="s">
        <v>933</v>
      </c>
      <c r="X262" s="15" t="s">
        <v>1358</v>
      </c>
      <c r="Y262" s="7" t="s">
        <v>340</v>
      </c>
      <c r="Z262" s="7" t="s">
        <v>340</v>
      </c>
      <c r="AA262" s="7" t="s">
        <v>340</v>
      </c>
      <c r="AB262" s="7" t="s">
        <v>340</v>
      </c>
      <c r="AC262" s="7" t="s">
        <v>340</v>
      </c>
      <c r="AD262" s="7" t="s">
        <v>340</v>
      </c>
      <c r="AE262" s="7">
        <v>22101</v>
      </c>
      <c r="AF262" s="7">
        <v>308</v>
      </c>
      <c r="AG262" s="7" t="s">
        <v>340</v>
      </c>
      <c r="AH262" s="5">
        <v>1</v>
      </c>
      <c r="AI262" s="5">
        <v>1</v>
      </c>
      <c r="AJ262" s="9">
        <f>IF(AND(ISNUMBER(F262),ISNUMBER(G262),ISNUMBER(K262),ISNUMBER(L262)),ACOS(MIN(1,COS(RADIANS(90-F262))*COS(RADIANS(90-K262))+SIN(RADIANS(90-F262))*SIN(RADIANS(90-K262))*COS(RADIANS(G262-L262))))*6371,"N/A")</f>
        <v>518.15558850959553</v>
      </c>
      <c r="AK262" s="10">
        <f>IF(AND(ISNUMBER(F262),ISNUMBER(G262),ISNUMBER(K262),ISNUMBER(L262)),MOD(DEGREES(ATAN2(COS(RADIANS(K262))*SIN(RADIANS(F262))-SIN(RADIANS(K262))*COS(RADIANS(F262))*COS(RADIANS(G262-L262)),SIN(RADIANS(G262-L262))*COS(RADIANS(F262))))+360,360),"N/A")</f>
        <v>349.04098394584332</v>
      </c>
      <c r="AL262" s="10" t="str">
        <f>IF(AND(ISNUMBER(F262),ISNUMBER(G262),ISNUMBER(M262),ISNUMBER(N262)),ACOS(MIN(1,COS(RADIANS(90-F262))*COS(RADIANS(90-M262))+SIN(RADIANS(90-F262))*SIN(RADIANS(90-M262))*COS(RADIANS(G262-N262))))*6371,"N/A")</f>
        <v>N/A</v>
      </c>
      <c r="AM262" s="10" t="str">
        <f>IF(AND(ISNUMBER(F262),ISNUMBER(G262),ISNUMBER(M262),ISNUMBER(N262)),MOD(DEGREES(ATAN2(COS(RADIANS(M262))*SIN(RADIANS(F262))-SIN(RADIANS(M262))*COS(RADIANS(F262))*COS(RADIANS(G262-N262)),SIN(RADIANS(G262-N262))*COS(RADIANS(F262))))+360,360),"N/A")</f>
        <v>N/A</v>
      </c>
      <c r="AN262" s="2"/>
      <c r="AO262" s="2"/>
    </row>
    <row r="263" spans="1:41" x14ac:dyDescent="0.2">
      <c r="A263" s="4" t="s">
        <v>343</v>
      </c>
      <c r="B263" s="4" t="s">
        <v>81</v>
      </c>
      <c r="C263" s="5">
        <v>616</v>
      </c>
      <c r="D263" s="4" t="s">
        <v>70</v>
      </c>
      <c r="E263" s="4" t="s">
        <v>73</v>
      </c>
      <c r="F263" s="15">
        <v>40.492199999999997</v>
      </c>
      <c r="G263" s="15">
        <v>14.7089</v>
      </c>
      <c r="H263" s="16">
        <v>-292</v>
      </c>
      <c r="I263" s="4" t="s">
        <v>1216</v>
      </c>
      <c r="J263" s="4" t="s">
        <v>16</v>
      </c>
      <c r="K263" s="6">
        <v>40.820999999999998</v>
      </c>
      <c r="L263" s="6">
        <v>14.426</v>
      </c>
      <c r="M263" s="5" t="s">
        <v>340</v>
      </c>
      <c r="N263" s="5" t="s">
        <v>340</v>
      </c>
      <c r="O263" s="4" t="s">
        <v>879</v>
      </c>
      <c r="P263" s="5" t="s">
        <v>340</v>
      </c>
      <c r="Q263" s="5">
        <v>9999</v>
      </c>
      <c r="R263" s="4" t="s">
        <v>41</v>
      </c>
      <c r="S263" s="4" t="s">
        <v>1121</v>
      </c>
      <c r="T263" s="7">
        <v>1871</v>
      </c>
      <c r="U263" s="7">
        <v>1871</v>
      </c>
      <c r="V263" s="7">
        <v>1871</v>
      </c>
      <c r="W263" s="15" t="s">
        <v>898</v>
      </c>
      <c r="X263" s="15" t="s">
        <v>332</v>
      </c>
      <c r="Y263" s="7" t="s">
        <v>340</v>
      </c>
      <c r="Z263" s="7" t="s">
        <v>340</v>
      </c>
      <c r="AA263" s="7" t="s">
        <v>340</v>
      </c>
      <c r="AB263" s="7" t="s">
        <v>340</v>
      </c>
      <c r="AC263" s="7" t="s">
        <v>340</v>
      </c>
      <c r="AD263" s="7" t="s">
        <v>340</v>
      </c>
      <c r="AE263" s="7" t="s">
        <v>340</v>
      </c>
      <c r="AF263" s="7" t="s">
        <v>340</v>
      </c>
      <c r="AG263" s="7" t="s">
        <v>905</v>
      </c>
      <c r="AH263" s="5">
        <v>1</v>
      </c>
      <c r="AI263" s="5">
        <v>1</v>
      </c>
      <c r="AJ263" s="9">
        <f>IF(AND(ISNUMBER(F263),ISNUMBER(G263),ISNUMBER(K263),ISNUMBER(L263)),ACOS(MIN(1,COS(RADIANS(90-F263))*COS(RADIANS(90-K263))+SIN(RADIANS(90-F263))*SIN(RADIANS(90-K263))*COS(RADIANS(G263-L263))))*6371,"N/A")</f>
        <v>43.659972531947851</v>
      </c>
      <c r="AK263" s="10">
        <f>IF(AND(ISNUMBER(F263),ISNUMBER(G263),ISNUMBER(K263),ISNUMBER(L263)),MOD(DEGREES(ATAN2(COS(RADIANS(K263))*SIN(RADIANS(F263))-SIN(RADIANS(K263))*COS(RADIANS(F263))*COS(RADIANS(G263-L263)),SIN(RADIANS(G263-L263))*COS(RADIANS(F263))))+360,360),"N/A")</f>
        <v>146.77427534089503</v>
      </c>
      <c r="AL263" s="10" t="str">
        <f>IF(AND(ISNUMBER(F263),ISNUMBER(G263),ISNUMBER(M263),ISNUMBER(N263)),ACOS(MIN(1,COS(RADIANS(90-F263))*COS(RADIANS(90-M263))+SIN(RADIANS(90-F263))*SIN(RADIANS(90-M263))*COS(RADIANS(G263-N263))))*6371,"N/A")</f>
        <v>N/A</v>
      </c>
      <c r="AM263" s="10" t="str">
        <f>IF(AND(ISNUMBER(F263),ISNUMBER(G263),ISNUMBER(M263),ISNUMBER(N263)),MOD(DEGREES(ATAN2(COS(RADIANS(M263))*SIN(RADIANS(F263))-SIN(RADIANS(M263))*COS(RADIANS(F263))*COS(RADIANS(G263-N263)),SIN(RADIANS(G263-N263))*COS(RADIANS(F263))))+360,360),"N/A")</f>
        <v>N/A</v>
      </c>
      <c r="AN263" s="2"/>
      <c r="AO263" s="2"/>
    </row>
    <row r="264" spans="1:41" x14ac:dyDescent="0.2">
      <c r="A264" s="4" t="s">
        <v>344</v>
      </c>
      <c r="B264" s="4" t="s">
        <v>82</v>
      </c>
      <c r="C264" s="5">
        <v>617</v>
      </c>
      <c r="D264" s="4" t="s">
        <v>70</v>
      </c>
      <c r="E264" s="4" t="s">
        <v>73</v>
      </c>
      <c r="F264" s="15">
        <v>39.752800000000001</v>
      </c>
      <c r="G264" s="15">
        <v>15.338900000000001</v>
      </c>
      <c r="H264" s="16">
        <v>-1053</v>
      </c>
      <c r="I264" s="4" t="s">
        <v>1216</v>
      </c>
      <c r="J264" s="4" t="s">
        <v>16</v>
      </c>
      <c r="K264" s="6">
        <v>40.820999999999998</v>
      </c>
      <c r="L264" s="6">
        <v>14.426</v>
      </c>
      <c r="M264" s="5" t="s">
        <v>340</v>
      </c>
      <c r="N264" s="5" t="s">
        <v>340</v>
      </c>
      <c r="O264" s="4" t="s">
        <v>879</v>
      </c>
      <c r="P264" s="5" t="s">
        <v>340</v>
      </c>
      <c r="Q264" s="5">
        <v>9999</v>
      </c>
      <c r="R264" s="4" t="s">
        <v>41</v>
      </c>
      <c r="S264" s="4" t="s">
        <v>1121</v>
      </c>
      <c r="T264" s="7">
        <v>1871</v>
      </c>
      <c r="U264" s="7">
        <v>1871</v>
      </c>
      <c r="V264" s="7">
        <v>1871</v>
      </c>
      <c r="W264" s="15" t="s">
        <v>898</v>
      </c>
      <c r="X264" s="15" t="s">
        <v>332</v>
      </c>
      <c r="Y264" s="7" t="s">
        <v>340</v>
      </c>
      <c r="Z264" s="7" t="s">
        <v>340</v>
      </c>
      <c r="AA264" s="7" t="s">
        <v>340</v>
      </c>
      <c r="AB264" s="7" t="s">
        <v>340</v>
      </c>
      <c r="AC264" s="7" t="s">
        <v>340</v>
      </c>
      <c r="AD264" s="7" t="s">
        <v>340</v>
      </c>
      <c r="AE264" s="7" t="s">
        <v>340</v>
      </c>
      <c r="AF264" s="7" t="s">
        <v>340</v>
      </c>
      <c r="AG264" s="7" t="s">
        <v>905</v>
      </c>
      <c r="AH264" s="5">
        <v>1</v>
      </c>
      <c r="AI264" s="5">
        <v>1</v>
      </c>
      <c r="AJ264" s="9">
        <f>IF(AND(ISNUMBER(F264),ISNUMBER(G264),ISNUMBER(K264),ISNUMBER(L264)),ACOS(MIN(1,COS(RADIANS(90-F264))*COS(RADIANS(90-K264))+SIN(RADIANS(90-F264))*SIN(RADIANS(90-K264))*COS(RADIANS(G264-L264))))*6371,"N/A")</f>
        <v>141.78729395595764</v>
      </c>
      <c r="AK264" s="10">
        <f>IF(AND(ISNUMBER(F264),ISNUMBER(G264),ISNUMBER(K264),ISNUMBER(L264)),MOD(DEGREES(ATAN2(COS(RADIANS(K264))*SIN(RADIANS(F264))-SIN(RADIANS(K264))*COS(RADIANS(F264))*COS(RADIANS(G264-L264)),SIN(RADIANS(G264-L264))*COS(RADIANS(F264))))+360,360),"N/A")</f>
        <v>146.60299535552025</v>
      </c>
      <c r="AL264" s="10" t="str">
        <f>IF(AND(ISNUMBER(F264),ISNUMBER(G264),ISNUMBER(M264),ISNUMBER(N264)),ACOS(MIN(1,COS(RADIANS(90-F264))*COS(RADIANS(90-M264))+SIN(RADIANS(90-F264))*SIN(RADIANS(90-M264))*COS(RADIANS(G264-N264))))*6371,"N/A")</f>
        <v>N/A</v>
      </c>
      <c r="AM264" s="10" t="str">
        <f>IF(AND(ISNUMBER(F264),ISNUMBER(G264),ISNUMBER(M264),ISNUMBER(N264)),MOD(DEGREES(ATAN2(COS(RADIANS(M264))*SIN(RADIANS(F264))-SIN(RADIANS(M264))*COS(RADIANS(F264))*COS(RADIANS(G264-N264)),SIN(RADIANS(G264-N264))*COS(RADIANS(F264))))+360,360),"N/A")</f>
        <v>N/A</v>
      </c>
      <c r="AN264" s="2"/>
      <c r="AO264" s="2"/>
    </row>
    <row r="265" spans="1:41" x14ac:dyDescent="0.2">
      <c r="A265" s="4" t="s">
        <v>345</v>
      </c>
      <c r="B265" s="4" t="s">
        <v>97</v>
      </c>
      <c r="C265" s="5">
        <v>594</v>
      </c>
      <c r="D265" s="4" t="s">
        <v>70</v>
      </c>
      <c r="E265" s="4" t="s">
        <v>89</v>
      </c>
      <c r="F265" s="15">
        <v>39.666699999999999</v>
      </c>
      <c r="G265" s="15">
        <v>13.566700000000001</v>
      </c>
      <c r="H265" s="16">
        <v>-2909</v>
      </c>
      <c r="I265" s="4" t="s">
        <v>1217</v>
      </c>
      <c r="J265" s="4" t="s">
        <v>15</v>
      </c>
      <c r="K265" s="6">
        <v>40.826999999999998</v>
      </c>
      <c r="L265" s="6">
        <v>14.138999999999999</v>
      </c>
      <c r="M265" s="5" t="s">
        <v>340</v>
      </c>
      <c r="N265" s="5" t="s">
        <v>340</v>
      </c>
      <c r="O265" s="4" t="s">
        <v>20</v>
      </c>
      <c r="P265" s="5" t="s">
        <v>340</v>
      </c>
      <c r="Q265" s="5">
        <v>9999</v>
      </c>
      <c r="R265" s="4" t="s">
        <v>41</v>
      </c>
      <c r="S265" s="4" t="s">
        <v>1121</v>
      </c>
      <c r="T265" s="7">
        <v>13761</v>
      </c>
      <c r="U265" s="7">
        <v>14029</v>
      </c>
      <c r="V265" s="7">
        <v>14356</v>
      </c>
      <c r="W265" s="15" t="s">
        <v>933</v>
      </c>
      <c r="X265" s="15" t="s">
        <v>1358</v>
      </c>
      <c r="Y265" s="7" t="s">
        <v>340</v>
      </c>
      <c r="Z265" s="7" t="s">
        <v>340</v>
      </c>
      <c r="AA265" s="7" t="s">
        <v>340</v>
      </c>
      <c r="AB265" s="7" t="s">
        <v>340</v>
      </c>
      <c r="AC265" s="7">
        <v>14120</v>
      </c>
      <c r="AD265" s="7">
        <v>710</v>
      </c>
      <c r="AE265" s="7">
        <v>14037</v>
      </c>
      <c r="AF265" s="7">
        <v>156</v>
      </c>
      <c r="AG265" s="7" t="s">
        <v>340</v>
      </c>
      <c r="AH265" s="5">
        <v>1</v>
      </c>
      <c r="AI265" s="5">
        <v>1</v>
      </c>
      <c r="AJ265" s="9">
        <f>IF(AND(ISNUMBER(F265),ISNUMBER(G265),ISNUMBER(K265),ISNUMBER(L265)),ACOS(MIN(1,COS(RADIANS(90-F265))*COS(RADIANS(90-K265))+SIN(RADIANS(90-F265))*SIN(RADIANS(90-K265))*COS(RADIANS(G265-L265))))*6371,"N/A")</f>
        <v>137.85862031818178</v>
      </c>
      <c r="AK265" s="10">
        <f>IF(AND(ISNUMBER(F265),ISNUMBER(G265),ISNUMBER(K265),ISNUMBER(L265)),MOD(DEGREES(ATAN2(COS(RADIANS(K265))*SIN(RADIANS(F265))-SIN(RADIANS(K265))*COS(RADIANS(F265))*COS(RADIANS(G265-L265)),SIN(RADIANS(G265-L265))*COS(RADIANS(F265))))+360,360),"N/A")</f>
        <v>200.81522271912996</v>
      </c>
      <c r="AL265" s="10" t="str">
        <f>IF(AND(ISNUMBER(F265),ISNUMBER(G265),ISNUMBER(M265),ISNUMBER(N265)),ACOS(MIN(1,COS(RADIANS(90-F265))*COS(RADIANS(90-M265))+SIN(RADIANS(90-F265))*SIN(RADIANS(90-M265))*COS(RADIANS(G265-N265))))*6371,"N/A")</f>
        <v>N/A</v>
      </c>
      <c r="AM265" s="10" t="str">
        <f>IF(AND(ISNUMBER(F265),ISNUMBER(G265),ISNUMBER(M265),ISNUMBER(N265)),MOD(DEGREES(ATAN2(COS(RADIANS(M265))*SIN(RADIANS(F265))-SIN(RADIANS(M265))*COS(RADIANS(F265))*COS(RADIANS(G265-N265)),SIN(RADIANS(G265-N265))*COS(RADIANS(F265))))+360,360),"N/A")</f>
        <v>N/A</v>
      </c>
      <c r="AN265" s="2"/>
      <c r="AO265" s="2"/>
    </row>
    <row r="266" spans="1:41" x14ac:dyDescent="0.2">
      <c r="A266" s="4" t="s">
        <v>346</v>
      </c>
      <c r="B266" s="4" t="s">
        <v>97</v>
      </c>
      <c r="C266" s="5">
        <v>594</v>
      </c>
      <c r="D266" s="4" t="s">
        <v>70</v>
      </c>
      <c r="E266" s="4" t="s">
        <v>89</v>
      </c>
      <c r="F266" s="15">
        <v>39.666699999999999</v>
      </c>
      <c r="G266" s="15">
        <v>13.566700000000001</v>
      </c>
      <c r="H266" s="16">
        <v>-2909</v>
      </c>
      <c r="I266" s="4" t="s">
        <v>1217</v>
      </c>
      <c r="J266" s="4" t="s">
        <v>334</v>
      </c>
      <c r="K266" s="6">
        <v>40.76</v>
      </c>
      <c r="L266" s="6">
        <v>14.0169</v>
      </c>
      <c r="M266" s="5" t="s">
        <v>340</v>
      </c>
      <c r="N266" s="5" t="s">
        <v>340</v>
      </c>
      <c r="O266" s="4" t="s">
        <v>335</v>
      </c>
      <c r="P266" s="5" t="s">
        <v>340</v>
      </c>
      <c r="Q266" s="5">
        <v>9999</v>
      </c>
      <c r="R266" s="4" t="s">
        <v>41</v>
      </c>
      <c r="S266" s="4" t="s">
        <v>1121</v>
      </c>
      <c r="T266" s="12">
        <v>23005</v>
      </c>
      <c r="U266" s="7">
        <v>23603</v>
      </c>
      <c r="V266" s="12">
        <v>24201</v>
      </c>
      <c r="W266" s="15" t="s">
        <v>1355</v>
      </c>
      <c r="X266" s="15" t="s">
        <v>1383</v>
      </c>
      <c r="Y266" s="7">
        <v>19620</v>
      </c>
      <c r="Z266" s="7">
        <v>270</v>
      </c>
      <c r="AA266" s="7" t="s">
        <v>340</v>
      </c>
      <c r="AB266" s="7" t="s">
        <v>340</v>
      </c>
      <c r="AC266" s="7">
        <v>21260</v>
      </c>
      <c r="AD266" s="7">
        <v>1060</v>
      </c>
      <c r="AE266" s="7" t="s">
        <v>340</v>
      </c>
      <c r="AF266" s="7" t="s">
        <v>340</v>
      </c>
      <c r="AG266" s="7" t="s">
        <v>340</v>
      </c>
      <c r="AH266" s="5">
        <v>1</v>
      </c>
      <c r="AI266" s="5">
        <v>1</v>
      </c>
      <c r="AJ266" s="9">
        <f>IF(AND(ISNUMBER(F266),ISNUMBER(G266),ISNUMBER(K266),ISNUMBER(L266)),ACOS(MIN(1,COS(RADIANS(90-F266))*COS(RADIANS(90-K266))+SIN(RADIANS(90-F266))*SIN(RADIANS(90-K266))*COS(RADIANS(G266-L266))))*6371,"N/A")</f>
        <v>127.43768949233544</v>
      </c>
      <c r="AK266" s="10">
        <f>IF(AND(ISNUMBER(F266),ISNUMBER(G266),ISNUMBER(K266),ISNUMBER(L266)),MOD(DEGREES(ATAN2(COS(RADIANS(K266))*SIN(RADIANS(F266))-SIN(RADIANS(K266))*COS(RADIANS(F266))*COS(RADIANS(G266-L266)),SIN(RADIANS(G266-L266))*COS(RADIANS(F266))))+360,360),"N/A")</f>
        <v>197.6016692943416</v>
      </c>
      <c r="AL266" s="10" t="str">
        <f>IF(AND(ISNUMBER(F266),ISNUMBER(G266),ISNUMBER(M266),ISNUMBER(N266)),ACOS(MIN(1,COS(RADIANS(90-F266))*COS(RADIANS(90-M266))+SIN(RADIANS(90-F266))*SIN(RADIANS(90-M266))*COS(RADIANS(G266-N266))))*6371,"N/A")</f>
        <v>N/A</v>
      </c>
      <c r="AM266" s="10" t="str">
        <f>IF(AND(ISNUMBER(F266),ISNUMBER(G266),ISNUMBER(M266),ISNUMBER(N266)),MOD(DEGREES(ATAN2(COS(RADIANS(M266))*SIN(RADIANS(F266))-SIN(RADIANS(M266))*COS(RADIANS(F266))*COS(RADIANS(G266-N266)),SIN(RADIANS(G266-N266))*COS(RADIANS(F266))))+360,360),"N/A")</f>
        <v>N/A</v>
      </c>
      <c r="AN266" s="2"/>
      <c r="AO266" s="2"/>
    </row>
    <row r="267" spans="1:41" x14ac:dyDescent="0.2">
      <c r="A267" s="4" t="s">
        <v>347</v>
      </c>
      <c r="B267" s="4" t="s">
        <v>96</v>
      </c>
      <c r="C267" s="5">
        <v>596</v>
      </c>
      <c r="D267" s="4" t="s">
        <v>70</v>
      </c>
      <c r="E267" s="4" t="s">
        <v>89</v>
      </c>
      <c r="F267" s="15">
        <v>38.816699999999997</v>
      </c>
      <c r="G267" s="15">
        <v>14.4833</v>
      </c>
      <c r="H267" s="16">
        <v>-1900</v>
      </c>
      <c r="I267" s="4" t="s">
        <v>1218</v>
      </c>
      <c r="J267" s="4" t="s">
        <v>42</v>
      </c>
      <c r="K267" s="6">
        <v>37.747999999999998</v>
      </c>
      <c r="L267" s="6">
        <v>14.999000000000001</v>
      </c>
      <c r="M267" s="5" t="s">
        <v>340</v>
      </c>
      <c r="N267" s="5" t="s">
        <v>340</v>
      </c>
      <c r="O267" s="4" t="s">
        <v>874</v>
      </c>
      <c r="P267" s="5" t="s">
        <v>340</v>
      </c>
      <c r="Q267" s="5">
        <v>9998</v>
      </c>
      <c r="R267" s="4" t="s">
        <v>41</v>
      </c>
      <c r="S267" s="4" t="s">
        <v>1121</v>
      </c>
      <c r="T267" s="7">
        <v>17048</v>
      </c>
      <c r="U267" s="7">
        <v>17294</v>
      </c>
      <c r="V267" s="7">
        <v>17717</v>
      </c>
      <c r="W267" s="15" t="s">
        <v>934</v>
      </c>
      <c r="X267" s="15" t="s">
        <v>1365</v>
      </c>
      <c r="Y267" s="7">
        <v>14650</v>
      </c>
      <c r="Z267" s="7">
        <v>90</v>
      </c>
      <c r="AA267" s="7" t="s">
        <v>340</v>
      </c>
      <c r="AB267" s="7" t="s">
        <v>340</v>
      </c>
      <c r="AC267" s="7">
        <v>16440</v>
      </c>
      <c r="AD267" s="7">
        <v>820</v>
      </c>
      <c r="AE267" s="7">
        <v>17304</v>
      </c>
      <c r="AF267" s="7">
        <v>152</v>
      </c>
      <c r="AG267" s="7" t="s">
        <v>340</v>
      </c>
      <c r="AH267" s="5">
        <v>1</v>
      </c>
      <c r="AI267" s="5">
        <v>1</v>
      </c>
      <c r="AJ267" s="9">
        <f>IF(AND(ISNUMBER(F267),ISNUMBER(G267),ISNUMBER(K267),ISNUMBER(L267)),ACOS(MIN(1,COS(RADIANS(90-F267))*COS(RADIANS(90-K267))+SIN(RADIANS(90-F267))*SIN(RADIANS(90-K267))*COS(RADIANS(G267-L267))))*6371,"N/A")</f>
        <v>127.07273512480478</v>
      </c>
      <c r="AK267" s="10">
        <f>IF(AND(ISNUMBER(F267),ISNUMBER(G267),ISNUMBER(K267),ISNUMBER(L267)),MOD(DEGREES(ATAN2(COS(RADIANS(K267))*SIN(RADIANS(F267))-SIN(RADIANS(K267))*COS(RADIANS(F267))*COS(RADIANS(G267-L267)),SIN(RADIANS(G267-L267))*COS(RADIANS(F267))))+360,360),"N/A")</f>
        <v>339.41341202103513</v>
      </c>
      <c r="AL267" s="10" t="str">
        <f>IF(AND(ISNUMBER(F267),ISNUMBER(G267),ISNUMBER(M267),ISNUMBER(N267)),ACOS(MIN(1,COS(RADIANS(90-F267))*COS(RADIANS(90-M267))+SIN(RADIANS(90-F267))*SIN(RADIANS(90-M267))*COS(RADIANS(G267-N267))))*6371,"N/A")</f>
        <v>N/A</v>
      </c>
      <c r="AM267" s="10" t="str">
        <f>IF(AND(ISNUMBER(F267),ISNUMBER(G267),ISNUMBER(M267),ISNUMBER(N267)),MOD(DEGREES(ATAN2(COS(RADIANS(M267))*SIN(RADIANS(F267))-SIN(RADIANS(M267))*COS(RADIANS(F267))*COS(RADIANS(G267-N267)),SIN(RADIANS(G267-N267))*COS(RADIANS(F267))))+360,360),"N/A")</f>
        <v>N/A</v>
      </c>
      <c r="AN267" s="2"/>
      <c r="AO267" s="2"/>
    </row>
    <row r="268" spans="1:41" x14ac:dyDescent="0.2">
      <c r="A268" s="4" t="s">
        <v>348</v>
      </c>
      <c r="B268" s="4" t="s">
        <v>96</v>
      </c>
      <c r="C268" s="5">
        <v>596</v>
      </c>
      <c r="D268" s="4" t="s">
        <v>70</v>
      </c>
      <c r="E268" s="4" t="s">
        <v>89</v>
      </c>
      <c r="F268" s="15">
        <v>38.816699999999997</v>
      </c>
      <c r="G268" s="15">
        <v>14.4833</v>
      </c>
      <c r="H268" s="16">
        <v>-1900</v>
      </c>
      <c r="I268" s="4" t="s">
        <v>1218</v>
      </c>
      <c r="J268" s="4" t="s">
        <v>16</v>
      </c>
      <c r="K268" s="6">
        <v>40.820999999999998</v>
      </c>
      <c r="L268" s="6">
        <v>14.426</v>
      </c>
      <c r="M268" s="5" t="s">
        <v>340</v>
      </c>
      <c r="N268" s="5" t="s">
        <v>340</v>
      </c>
      <c r="O268" s="4" t="s">
        <v>879</v>
      </c>
      <c r="P268" s="5" t="s">
        <v>340</v>
      </c>
      <c r="Q268" s="5">
        <v>9999</v>
      </c>
      <c r="R268" s="4" t="s">
        <v>41</v>
      </c>
      <c r="S268" s="4" t="s">
        <v>1121</v>
      </c>
      <c r="T268" s="7">
        <v>1871</v>
      </c>
      <c r="U268" s="7">
        <v>1871</v>
      </c>
      <c r="V268" s="7">
        <v>1871</v>
      </c>
      <c r="W268" s="15" t="s">
        <v>898</v>
      </c>
      <c r="X268" s="15" t="s">
        <v>332</v>
      </c>
      <c r="Y268" s="7" t="s">
        <v>340</v>
      </c>
      <c r="Z268" s="7" t="s">
        <v>340</v>
      </c>
      <c r="AA268" s="7" t="s">
        <v>340</v>
      </c>
      <c r="AB268" s="7" t="s">
        <v>340</v>
      </c>
      <c r="AC268" s="7" t="s">
        <v>340</v>
      </c>
      <c r="AD268" s="7" t="s">
        <v>340</v>
      </c>
      <c r="AE268" s="7" t="s">
        <v>340</v>
      </c>
      <c r="AF268" s="7" t="s">
        <v>340</v>
      </c>
      <c r="AG268" s="7" t="s">
        <v>905</v>
      </c>
      <c r="AH268" s="5">
        <v>1</v>
      </c>
      <c r="AI268" s="5">
        <v>1</v>
      </c>
      <c r="AJ268" s="9">
        <f>IF(AND(ISNUMBER(F268),ISNUMBER(G268),ISNUMBER(K268),ISNUMBER(L268)),ACOS(MIN(1,COS(RADIANS(90-F268))*COS(RADIANS(90-K268))+SIN(RADIANS(90-F268))*SIN(RADIANS(90-K268))*COS(RADIANS(G268-L268))))*6371,"N/A")</f>
        <v>222.92169679950752</v>
      </c>
      <c r="AK268" s="10">
        <f>IF(AND(ISNUMBER(F268),ISNUMBER(G268),ISNUMBER(K268),ISNUMBER(L268)),MOD(DEGREES(ATAN2(COS(RADIANS(K268))*SIN(RADIANS(F268))-SIN(RADIANS(K268))*COS(RADIANS(F268))*COS(RADIANS(G268-L268)),SIN(RADIANS(G268-L268))*COS(RADIANS(F268))))+360,360),"N/A")</f>
        <v>178.72368350804368</v>
      </c>
      <c r="AL268" s="10" t="str">
        <f>IF(AND(ISNUMBER(F268),ISNUMBER(G268),ISNUMBER(M268),ISNUMBER(N268)),ACOS(MIN(1,COS(RADIANS(90-F268))*COS(RADIANS(90-M268))+SIN(RADIANS(90-F268))*SIN(RADIANS(90-M268))*COS(RADIANS(G268-N268))))*6371,"N/A")</f>
        <v>N/A</v>
      </c>
      <c r="AM268" s="10" t="str">
        <f>IF(AND(ISNUMBER(F268),ISNUMBER(G268),ISNUMBER(M268),ISNUMBER(N268)),MOD(DEGREES(ATAN2(COS(RADIANS(M268))*SIN(RADIANS(F268))-SIN(RADIANS(M268))*COS(RADIANS(F268))*COS(RADIANS(G268-N268)),SIN(RADIANS(G268-N268))*COS(RADIANS(F268))))+360,360),"N/A")</f>
        <v>N/A</v>
      </c>
      <c r="AN268" s="2"/>
      <c r="AO268" s="2"/>
    </row>
    <row r="269" spans="1:41" x14ac:dyDescent="0.2">
      <c r="A269" s="4" t="s">
        <v>342</v>
      </c>
      <c r="B269" s="4" t="s">
        <v>98</v>
      </c>
      <c r="C269" s="5">
        <v>595</v>
      </c>
      <c r="D269" s="4" t="s">
        <v>70</v>
      </c>
      <c r="E269" s="4" t="s">
        <v>89</v>
      </c>
      <c r="F269" s="15">
        <v>39.15</v>
      </c>
      <c r="G269" s="15">
        <v>15.066700000000001</v>
      </c>
      <c r="H269" s="16">
        <v>-2111</v>
      </c>
      <c r="I269" s="4" t="s">
        <v>1219</v>
      </c>
      <c r="J269" s="4" t="s">
        <v>42</v>
      </c>
      <c r="K269" s="6">
        <v>37.747999999999998</v>
      </c>
      <c r="L269" s="6">
        <v>14.999000000000001</v>
      </c>
      <c r="M269" s="5" t="s">
        <v>340</v>
      </c>
      <c r="N269" s="5" t="s">
        <v>340</v>
      </c>
      <c r="O269" s="4" t="s">
        <v>874</v>
      </c>
      <c r="P269" s="5" t="s">
        <v>340</v>
      </c>
      <c r="Q269" s="5">
        <v>9999</v>
      </c>
      <c r="R269" s="4" t="s">
        <v>41</v>
      </c>
      <c r="S269" s="4" t="s">
        <v>1121</v>
      </c>
      <c r="T269" s="7">
        <v>17048</v>
      </c>
      <c r="U269" s="7">
        <v>17294</v>
      </c>
      <c r="V269" s="7">
        <v>17717</v>
      </c>
      <c r="W269" s="15" t="s">
        <v>934</v>
      </c>
      <c r="X269" s="15" t="s">
        <v>1365</v>
      </c>
      <c r="Y269" s="7">
        <v>14650</v>
      </c>
      <c r="Z269" s="7">
        <v>90</v>
      </c>
      <c r="AA269" s="7" t="s">
        <v>340</v>
      </c>
      <c r="AB269" s="7" t="s">
        <v>340</v>
      </c>
      <c r="AC269" s="7">
        <v>16440</v>
      </c>
      <c r="AD269" s="7">
        <v>820</v>
      </c>
      <c r="AE269" s="7">
        <v>17304</v>
      </c>
      <c r="AF269" s="7">
        <v>152</v>
      </c>
      <c r="AG269" s="7" t="s">
        <v>340</v>
      </c>
      <c r="AH269" s="5">
        <v>1</v>
      </c>
      <c r="AI269" s="5">
        <v>1</v>
      </c>
      <c r="AJ269" s="9">
        <f>IF(AND(ISNUMBER(F269),ISNUMBER(G269),ISNUMBER(K269),ISNUMBER(L269)),ACOS(MIN(1,COS(RADIANS(90-F269))*COS(RADIANS(90-K269))+SIN(RADIANS(90-F269))*SIN(RADIANS(90-K269))*COS(RADIANS(G269-L269))))*6371,"N/A")</f>
        <v>156.00670881385292</v>
      </c>
      <c r="AK269" s="10">
        <f>IF(AND(ISNUMBER(F269),ISNUMBER(G269),ISNUMBER(K269),ISNUMBER(L269)),MOD(DEGREES(ATAN2(COS(RADIANS(K269))*SIN(RADIANS(F269))-SIN(RADIANS(K269))*COS(RADIANS(F269))*COS(RADIANS(G269-L269)),SIN(RADIANS(G269-L269))*COS(RADIANS(F269))))+360,360),"N/A")</f>
        <v>2.1447523258179331</v>
      </c>
      <c r="AL269" s="10" t="str">
        <f>IF(AND(ISNUMBER(F269),ISNUMBER(G269),ISNUMBER(M269),ISNUMBER(N269)),ACOS(MIN(1,COS(RADIANS(90-F269))*COS(RADIANS(90-M269))+SIN(RADIANS(90-F269))*SIN(RADIANS(90-M269))*COS(RADIANS(G269-N269))))*6371,"N/A")</f>
        <v>N/A</v>
      </c>
      <c r="AM269" s="10" t="str">
        <f>IF(AND(ISNUMBER(F269),ISNUMBER(G269),ISNUMBER(M269),ISNUMBER(N269)),MOD(DEGREES(ATAN2(COS(RADIANS(M269))*SIN(RADIANS(F269))-SIN(RADIANS(M269))*COS(RADIANS(F269))*COS(RADIANS(G269-N269)),SIN(RADIANS(G269-N269))*COS(RADIANS(F269))))+360,360),"N/A")</f>
        <v>N/A</v>
      </c>
      <c r="AN269" s="2"/>
      <c r="AO269" s="2"/>
    </row>
    <row r="270" spans="1:41" x14ac:dyDescent="0.2">
      <c r="A270" s="4" t="s">
        <v>204</v>
      </c>
      <c r="B270" s="4" t="s">
        <v>56</v>
      </c>
      <c r="C270" s="5">
        <v>610</v>
      </c>
      <c r="D270" s="4" t="s">
        <v>32</v>
      </c>
      <c r="E270" s="4" t="s">
        <v>33</v>
      </c>
      <c r="F270" s="15">
        <v>40.651499999999999</v>
      </c>
      <c r="G270" s="15">
        <v>15.432700000000001</v>
      </c>
      <c r="H270" s="16">
        <v>0</v>
      </c>
      <c r="I270" s="4" t="s">
        <v>1220</v>
      </c>
      <c r="J270" s="4" t="s">
        <v>16</v>
      </c>
      <c r="K270" s="6">
        <v>40.820999999999998</v>
      </c>
      <c r="L270" s="6">
        <v>14.426</v>
      </c>
      <c r="M270" s="5" t="s">
        <v>340</v>
      </c>
      <c r="N270" s="5" t="s">
        <v>340</v>
      </c>
      <c r="O270" s="4" t="s">
        <v>1069</v>
      </c>
      <c r="P270" s="5"/>
      <c r="Q270" s="5">
        <v>9999</v>
      </c>
      <c r="R270" s="4" t="s">
        <v>207</v>
      </c>
      <c r="S270" s="4" t="s">
        <v>208</v>
      </c>
      <c r="T270" s="12">
        <v>18978</v>
      </c>
      <c r="U270" s="12">
        <v>19162</v>
      </c>
      <c r="V270" s="12">
        <v>19352</v>
      </c>
      <c r="W270" s="21" t="s">
        <v>933</v>
      </c>
      <c r="X270" s="21" t="s">
        <v>1359</v>
      </c>
      <c r="Y270" s="7" t="s">
        <v>340</v>
      </c>
      <c r="Z270" s="7" t="s">
        <v>340</v>
      </c>
      <c r="AA270" s="7" t="s">
        <v>340</v>
      </c>
      <c r="AB270" s="7" t="s">
        <v>340</v>
      </c>
      <c r="AC270" s="7">
        <v>17560</v>
      </c>
      <c r="AD270" s="7">
        <v>880</v>
      </c>
      <c r="AE270" s="7">
        <v>19164</v>
      </c>
      <c r="AF270" s="7">
        <v>92</v>
      </c>
      <c r="AG270" s="7" t="s">
        <v>340</v>
      </c>
      <c r="AH270" s="5">
        <v>1</v>
      </c>
      <c r="AI270" s="5">
        <v>1</v>
      </c>
      <c r="AJ270" s="9">
        <f>IF(AND(ISNUMBER(F270),ISNUMBER(G270),ISNUMBER(K270),ISNUMBER(L270)),ACOS(MIN(1,COS(RADIANS(90-F270))*COS(RADIANS(90-K270))+SIN(RADIANS(90-F270))*SIN(RADIANS(90-K270))*COS(RADIANS(G270-L270))))*6371,"N/A")</f>
        <v>86.887563917672509</v>
      </c>
      <c r="AK270" s="10">
        <f>IF(AND(ISNUMBER(F270),ISNUMBER(G270),ISNUMBER(K270),ISNUMBER(L270)),MOD(DEGREES(ATAN2(COS(RADIANS(K270))*SIN(RADIANS(F270))-SIN(RADIANS(K270))*COS(RADIANS(F270))*COS(RADIANS(G270-L270)),SIN(RADIANS(G270-L270))*COS(RADIANS(F270))))+360,360),"N/A")</f>
        <v>102.19924180511634</v>
      </c>
      <c r="AL270" s="10" t="str">
        <f>IF(AND(ISNUMBER(F270),ISNUMBER(G270),ISNUMBER(M270),ISNUMBER(N270)),ACOS(MIN(1,COS(RADIANS(90-F270))*COS(RADIANS(90-M270))+SIN(RADIANS(90-F270))*SIN(RADIANS(90-M270))*COS(RADIANS(G270-N270))))*6371,"N/A")</f>
        <v>N/A</v>
      </c>
      <c r="AM270" s="10" t="str">
        <f>IF(AND(ISNUMBER(F270),ISNUMBER(G270),ISNUMBER(M270),ISNUMBER(N270)),MOD(DEGREES(ATAN2(COS(RADIANS(M270))*SIN(RADIANS(F270))-SIN(RADIANS(M270))*COS(RADIANS(F270))*COS(RADIANS(G270-N270)),SIN(RADIANS(G270-N270))*COS(RADIANS(F270))))+360,360),"N/A")</f>
        <v>N/A</v>
      </c>
      <c r="AN270" s="2"/>
      <c r="AO270" s="2"/>
    </row>
    <row r="271" spans="1:41" x14ac:dyDescent="0.2">
      <c r="A271" s="4" t="s">
        <v>205</v>
      </c>
      <c r="B271" s="4" t="s">
        <v>56</v>
      </c>
      <c r="C271" s="5">
        <v>610</v>
      </c>
      <c r="D271" s="4" t="s">
        <v>32</v>
      </c>
      <c r="E271" s="4" t="s">
        <v>33</v>
      </c>
      <c r="F271" s="15">
        <v>40.651499999999999</v>
      </c>
      <c r="G271" s="15">
        <v>15.432700000000001</v>
      </c>
      <c r="H271" s="16">
        <v>0</v>
      </c>
      <c r="I271" s="4" t="s">
        <v>1220</v>
      </c>
      <c r="J271" s="4" t="s">
        <v>15</v>
      </c>
      <c r="K271" s="6">
        <v>40.826999999999998</v>
      </c>
      <c r="L271" s="6">
        <v>14.138999999999999</v>
      </c>
      <c r="M271" s="5" t="s">
        <v>340</v>
      </c>
      <c r="N271" s="5" t="s">
        <v>340</v>
      </c>
      <c r="O271" s="4" t="s">
        <v>20</v>
      </c>
      <c r="P271" s="5" t="s">
        <v>340</v>
      </c>
      <c r="Q271" s="5">
        <v>9999</v>
      </c>
      <c r="R271" s="4" t="s">
        <v>206</v>
      </c>
      <c r="S271" s="4" t="s">
        <v>1134</v>
      </c>
      <c r="T271" s="7">
        <v>13761</v>
      </c>
      <c r="U271" s="7">
        <v>14029</v>
      </c>
      <c r="V271" s="7">
        <v>14356</v>
      </c>
      <c r="W271" s="15" t="s">
        <v>933</v>
      </c>
      <c r="X271" s="15" t="s">
        <v>1358</v>
      </c>
      <c r="Y271" s="7" t="s">
        <v>340</v>
      </c>
      <c r="Z271" s="7" t="s">
        <v>340</v>
      </c>
      <c r="AA271" s="7" t="s">
        <v>340</v>
      </c>
      <c r="AB271" s="7" t="s">
        <v>340</v>
      </c>
      <c r="AC271" s="7">
        <v>14120</v>
      </c>
      <c r="AD271" s="7">
        <v>710</v>
      </c>
      <c r="AE271" s="7">
        <v>14037</v>
      </c>
      <c r="AF271" s="7">
        <v>156</v>
      </c>
      <c r="AG271" s="7" t="s">
        <v>340</v>
      </c>
      <c r="AH271" s="5">
        <v>1</v>
      </c>
      <c r="AI271" s="5">
        <v>1</v>
      </c>
      <c r="AJ271" s="9">
        <f>IF(AND(ISNUMBER(F271),ISNUMBER(G271),ISNUMBER(K271),ISNUMBER(L271)),ACOS(MIN(1,COS(RADIANS(90-F271))*COS(RADIANS(90-K271))+SIN(RADIANS(90-F271))*SIN(RADIANS(90-K271))*COS(RADIANS(G271-L271))))*6371,"N/A")</f>
        <v>110.72760259139952</v>
      </c>
      <c r="AK271" s="10">
        <f>IF(AND(ISNUMBER(F271),ISNUMBER(G271),ISNUMBER(K271),ISNUMBER(L271)),MOD(DEGREES(ATAN2(COS(RADIANS(K271))*SIN(RADIANS(F271))-SIN(RADIANS(K271))*COS(RADIANS(F271))*COS(RADIANS(G271-L271)),SIN(RADIANS(G271-L271))*COS(RADIANS(F271))))+360,360),"N/A")</f>
        <v>99.728181828857146</v>
      </c>
      <c r="AL271" s="10" t="str">
        <f>IF(AND(ISNUMBER(F271),ISNUMBER(G271),ISNUMBER(M271),ISNUMBER(N271)),ACOS(MIN(1,COS(RADIANS(90-F271))*COS(RADIANS(90-M271))+SIN(RADIANS(90-F271))*SIN(RADIANS(90-M271))*COS(RADIANS(G271-N271))))*6371,"N/A")</f>
        <v>N/A</v>
      </c>
      <c r="AM271" s="10" t="str">
        <f>IF(AND(ISNUMBER(F271),ISNUMBER(G271),ISNUMBER(M271),ISNUMBER(N271)),MOD(DEGREES(ATAN2(COS(RADIANS(M271))*SIN(RADIANS(F271))-SIN(RADIANS(M271))*COS(RADIANS(F271))*COS(RADIANS(G271-N271)),SIN(RADIANS(G271-N271))*COS(RADIANS(F271))))+360,360),"N/A")</f>
        <v>N/A</v>
      </c>
      <c r="AN271" s="2"/>
      <c r="AO271" s="2"/>
    </row>
    <row r="272" spans="1:41" x14ac:dyDescent="0.2">
      <c r="A272" s="4" t="s">
        <v>182</v>
      </c>
      <c r="B272" s="4" t="s">
        <v>46</v>
      </c>
      <c r="C272" s="5">
        <v>599</v>
      </c>
      <c r="D272" s="4" t="s">
        <v>32</v>
      </c>
      <c r="E272" s="4" t="s">
        <v>39</v>
      </c>
      <c r="F272" s="15">
        <v>42.316699999999997</v>
      </c>
      <c r="G272" s="15">
        <v>12.166700000000001</v>
      </c>
      <c r="H272" s="16">
        <v>510</v>
      </c>
      <c r="I272" s="4" t="s">
        <v>985</v>
      </c>
      <c r="J272" s="4" t="s">
        <v>42</v>
      </c>
      <c r="K272" s="6">
        <v>37.747999999999998</v>
      </c>
      <c r="L272" s="6">
        <v>14.999000000000001</v>
      </c>
      <c r="M272" s="5" t="s">
        <v>340</v>
      </c>
      <c r="N272" s="5" t="s">
        <v>340</v>
      </c>
      <c r="O272" s="4" t="s">
        <v>874</v>
      </c>
      <c r="P272" s="5" t="s">
        <v>340</v>
      </c>
      <c r="Q272" s="5">
        <v>9999</v>
      </c>
      <c r="R272" s="4" t="s">
        <v>41</v>
      </c>
      <c r="S272" s="4" t="s">
        <v>1121</v>
      </c>
      <c r="T272" s="7">
        <v>17048</v>
      </c>
      <c r="U272" s="7">
        <v>17294</v>
      </c>
      <c r="V272" s="7">
        <v>17717</v>
      </c>
      <c r="W272" s="15" t="s">
        <v>934</v>
      </c>
      <c r="X272" s="15" t="s">
        <v>1365</v>
      </c>
      <c r="Y272" s="7">
        <v>14650</v>
      </c>
      <c r="Z272" s="7">
        <v>90</v>
      </c>
      <c r="AA272" s="7" t="s">
        <v>340</v>
      </c>
      <c r="AB272" s="7" t="s">
        <v>340</v>
      </c>
      <c r="AC272" s="7">
        <v>16440</v>
      </c>
      <c r="AD272" s="7">
        <v>820</v>
      </c>
      <c r="AE272" s="7">
        <v>17304</v>
      </c>
      <c r="AF272" s="7">
        <v>152</v>
      </c>
      <c r="AG272" s="7" t="s">
        <v>340</v>
      </c>
      <c r="AH272" s="5">
        <v>1</v>
      </c>
      <c r="AI272" s="5">
        <v>1</v>
      </c>
      <c r="AJ272" s="9">
        <f>IF(AND(ISNUMBER(F272),ISNUMBER(G272),ISNUMBER(K272),ISNUMBER(L272)),ACOS(MIN(1,COS(RADIANS(90-F272))*COS(RADIANS(90-K272))+SIN(RADIANS(90-F272))*SIN(RADIANS(90-K272))*COS(RADIANS(G272-L272))))*6371,"N/A")</f>
        <v>562.25337946299805</v>
      </c>
      <c r="AK272" s="10">
        <f>IF(AND(ISNUMBER(F272),ISNUMBER(G272),ISNUMBER(K272),ISNUMBER(L272)),MOD(DEGREES(ATAN2(COS(RADIANS(K272))*SIN(RADIANS(F272))-SIN(RADIANS(K272))*COS(RADIANS(F272))*COS(RADIANS(G272-L272)),SIN(RADIANS(G272-L272))*COS(RADIANS(F272))))+360,360),"N/A")</f>
        <v>335.50888811245477</v>
      </c>
      <c r="AL272" s="10" t="str">
        <f>IF(AND(ISNUMBER(F272),ISNUMBER(G272),ISNUMBER(M272),ISNUMBER(N272)),ACOS(MIN(1,COS(RADIANS(90-F272))*COS(RADIANS(90-M272))+SIN(RADIANS(90-F272))*SIN(RADIANS(90-M272))*COS(RADIANS(G272-N272))))*6371,"N/A")</f>
        <v>N/A</v>
      </c>
      <c r="AM272" s="10" t="str">
        <f>IF(AND(ISNUMBER(F272),ISNUMBER(G272),ISNUMBER(M272),ISNUMBER(N272)),MOD(DEGREES(ATAN2(COS(RADIANS(M272))*SIN(RADIANS(F272))-SIN(RADIANS(M272))*COS(RADIANS(F272))*COS(RADIANS(G272-N272)),SIN(RADIANS(G272-N272))*COS(RADIANS(F272))))+360,360),"N/A")</f>
        <v>N/A</v>
      </c>
      <c r="AN272" s="2"/>
      <c r="AO272" s="2"/>
    </row>
    <row r="273" spans="1:41" x14ac:dyDescent="0.2">
      <c r="A273" s="4" t="s">
        <v>1183</v>
      </c>
      <c r="B273" s="4" t="s">
        <v>1052</v>
      </c>
      <c r="C273" s="5" t="s">
        <v>340</v>
      </c>
      <c r="D273" s="4" t="s">
        <v>70</v>
      </c>
      <c r="E273" s="4" t="s">
        <v>970</v>
      </c>
      <c r="F273" s="15">
        <v>31.4512</v>
      </c>
      <c r="G273" s="21">
        <v>35.383600000000001</v>
      </c>
      <c r="H273" s="19" t="s">
        <v>340</v>
      </c>
      <c r="I273" s="4" t="s">
        <v>969</v>
      </c>
      <c r="J273" s="4" t="s">
        <v>368</v>
      </c>
      <c r="K273" s="6">
        <v>38.530999999999999</v>
      </c>
      <c r="L273" s="6">
        <v>35.447000000000003</v>
      </c>
      <c r="M273" s="5" t="s">
        <v>340</v>
      </c>
      <c r="N273" s="5" t="s">
        <v>340</v>
      </c>
      <c r="O273" s="4" t="s">
        <v>968</v>
      </c>
      <c r="P273" s="5">
        <v>24</v>
      </c>
      <c r="Q273" s="5" t="s">
        <v>340</v>
      </c>
      <c r="R273" s="4" t="s">
        <v>184</v>
      </c>
      <c r="S273" s="4" t="s">
        <v>1121</v>
      </c>
      <c r="T273" s="7">
        <v>8410</v>
      </c>
      <c r="U273" s="7">
        <v>8960</v>
      </c>
      <c r="V273" s="7">
        <v>9510</v>
      </c>
      <c r="W273" s="15" t="s">
        <v>972</v>
      </c>
      <c r="X273" s="15" t="s">
        <v>973</v>
      </c>
      <c r="Y273" s="7" t="s">
        <v>340</v>
      </c>
      <c r="Z273" s="7" t="s">
        <v>340</v>
      </c>
      <c r="AA273" s="7">
        <v>8960</v>
      </c>
      <c r="AB273" s="2">
        <v>550</v>
      </c>
      <c r="AC273" s="7" t="s">
        <v>340</v>
      </c>
      <c r="AD273" s="7" t="s">
        <v>340</v>
      </c>
      <c r="AE273" s="7">
        <v>8939</v>
      </c>
      <c r="AF273" s="7">
        <v>83</v>
      </c>
      <c r="AG273" s="7" t="s">
        <v>340</v>
      </c>
      <c r="AH273" s="5">
        <v>1</v>
      </c>
      <c r="AI273" s="5">
        <v>1</v>
      </c>
      <c r="AJ273" s="9">
        <f>IF(AND(ISNUMBER(F273),ISNUMBER(G273),ISNUMBER(K273),ISNUMBER(L273)),ACOS(MIN(1,COS(RADIANS(90-F273))*COS(RADIANS(90-K273))+SIN(RADIANS(90-F273))*SIN(RADIANS(90-K273))*COS(RADIANS(G273-L273))))*6371,"N/A")</f>
        <v>787.2589601062125</v>
      </c>
      <c r="AK273" s="10">
        <f>IF(AND(ISNUMBER(F273),ISNUMBER(G273),ISNUMBER(K273),ISNUMBER(L273)),MOD(DEGREES(ATAN2(COS(RADIANS(K273))*SIN(RADIANS(F273))-SIN(RADIANS(K273))*COS(RADIANS(F273))*COS(RADIANS(G273-L273)),SIN(RADIANS(G273-L273))*COS(RADIANS(F273))))+360,360),"N/A")</f>
        <v>180.43881498068347</v>
      </c>
      <c r="AL273" s="10" t="str">
        <f>IF(AND(ISNUMBER(F273),ISNUMBER(G273),ISNUMBER(M273),ISNUMBER(N273)),ACOS(MIN(1,COS(RADIANS(90-F273))*COS(RADIANS(90-M273))+SIN(RADIANS(90-F273))*SIN(RADIANS(90-M273))*COS(RADIANS(G273-N273))))*6371,"N/A")</f>
        <v>N/A</v>
      </c>
      <c r="AM273" s="10" t="str">
        <f>IF(AND(ISNUMBER(F273),ISNUMBER(G273),ISNUMBER(M273),ISNUMBER(N273)),MOD(DEGREES(ATAN2(COS(RADIANS(M273))*SIN(RADIANS(F273))-SIN(RADIANS(M273))*COS(RADIANS(F273))*COS(RADIANS(G273-N273)),SIN(RADIANS(G273-N273))*COS(RADIANS(F273))))+360,360),"N/A")</f>
        <v>N/A</v>
      </c>
      <c r="AN273" s="2"/>
      <c r="AO273" s="2"/>
    </row>
    <row r="274" spans="1:41" x14ac:dyDescent="0.2">
      <c r="A274" s="4" t="s">
        <v>1184</v>
      </c>
      <c r="B274" s="4" t="s">
        <v>1616</v>
      </c>
      <c r="C274" s="5" t="s">
        <v>340</v>
      </c>
      <c r="E274" s="4" t="s">
        <v>971</v>
      </c>
      <c r="F274" s="15">
        <v>27.633299999999998</v>
      </c>
      <c r="G274" s="21">
        <v>38.549999999999997</v>
      </c>
      <c r="H274" s="19">
        <v>830</v>
      </c>
      <c r="I274" s="4" t="s">
        <v>969</v>
      </c>
      <c r="J274" s="4" t="s">
        <v>368</v>
      </c>
      <c r="K274" s="6">
        <v>38.530999999999999</v>
      </c>
      <c r="L274" s="6">
        <v>35.447000000000003</v>
      </c>
      <c r="M274" s="5" t="s">
        <v>340</v>
      </c>
      <c r="N274" s="5" t="s">
        <v>340</v>
      </c>
      <c r="O274" s="4" t="s">
        <v>968</v>
      </c>
      <c r="P274" s="5">
        <v>16</v>
      </c>
      <c r="Q274" s="5" t="s">
        <v>340</v>
      </c>
      <c r="R274" s="4" t="s">
        <v>184</v>
      </c>
      <c r="S274" s="4" t="s">
        <v>1121</v>
      </c>
      <c r="T274" s="7">
        <v>8410</v>
      </c>
      <c r="U274" s="7">
        <v>8960</v>
      </c>
      <c r="V274" s="7">
        <v>9510</v>
      </c>
      <c r="W274" s="15" t="s">
        <v>972</v>
      </c>
      <c r="X274" s="15" t="s">
        <v>973</v>
      </c>
      <c r="Y274" s="7" t="s">
        <v>340</v>
      </c>
      <c r="Z274" s="7" t="s">
        <v>340</v>
      </c>
      <c r="AA274" s="7">
        <v>8960</v>
      </c>
      <c r="AB274" s="2">
        <v>550</v>
      </c>
      <c r="AC274" s="7" t="s">
        <v>340</v>
      </c>
      <c r="AD274" s="7" t="s">
        <v>340</v>
      </c>
      <c r="AE274" s="7">
        <v>8939</v>
      </c>
      <c r="AF274" s="7">
        <v>83</v>
      </c>
      <c r="AG274" s="7" t="s">
        <v>340</v>
      </c>
      <c r="AH274" s="5">
        <v>1</v>
      </c>
      <c r="AI274" s="5">
        <v>1</v>
      </c>
      <c r="AJ274" s="9">
        <f>IF(AND(ISNUMBER(F274),ISNUMBER(G274),ISNUMBER(K274),ISNUMBER(L274)),ACOS(MIN(1,COS(RADIANS(90-F274))*COS(RADIANS(90-K274))+SIN(RADIANS(90-F274))*SIN(RADIANS(90-K274))*COS(RADIANS(G274-L274))))*6371,"N/A")</f>
        <v>1245.5459631521073</v>
      </c>
      <c r="AK274" s="10">
        <f>IF(AND(ISNUMBER(F274),ISNUMBER(G274),ISNUMBER(K274),ISNUMBER(L274)),MOD(DEGREES(ATAN2(COS(RADIANS(K274))*SIN(RADIANS(F274))-SIN(RADIANS(K274))*COS(RADIANS(F274))*COS(RADIANS(G274-L274)),SIN(RADIANS(G274-L274))*COS(RADIANS(F274))))+360,360),"N/A")</f>
        <v>165.70769946488576</v>
      </c>
      <c r="AL274" s="10" t="str">
        <f>IF(AND(ISNUMBER(F274),ISNUMBER(G274),ISNUMBER(M274),ISNUMBER(N274)),ACOS(MIN(1,COS(RADIANS(90-F274))*COS(RADIANS(90-M274))+SIN(RADIANS(90-F274))*SIN(RADIANS(90-M274))*COS(RADIANS(G274-N274))))*6371,"N/A")</f>
        <v>N/A</v>
      </c>
      <c r="AM274" s="10" t="str">
        <f>IF(AND(ISNUMBER(F274),ISNUMBER(G274),ISNUMBER(M274),ISNUMBER(N274)),MOD(DEGREES(ATAN2(COS(RADIANS(M274))*SIN(RADIANS(F274))-SIN(RADIANS(M274))*COS(RADIANS(F274))*COS(RADIANS(G274-N274)),SIN(RADIANS(G274-N274))*COS(RADIANS(F274))))+360,360),"N/A")</f>
        <v>N/A</v>
      </c>
      <c r="AN274" s="2"/>
      <c r="AO274" s="2"/>
    </row>
    <row r="275" spans="1:41" x14ac:dyDescent="0.2">
      <c r="A275" s="4" t="s">
        <v>175</v>
      </c>
      <c r="B275" s="4" t="s">
        <v>172</v>
      </c>
      <c r="C275" s="5" t="s">
        <v>340</v>
      </c>
      <c r="D275" s="4" t="s">
        <v>173</v>
      </c>
      <c r="E275" s="4" t="s">
        <v>572</v>
      </c>
      <c r="F275" s="15">
        <v>31.508050000000001</v>
      </c>
      <c r="G275" s="21">
        <v>35.470999999999997</v>
      </c>
      <c r="H275" s="19">
        <v>-300</v>
      </c>
      <c r="I275" s="4" t="s">
        <v>174</v>
      </c>
      <c r="J275" s="4" t="s">
        <v>989</v>
      </c>
      <c r="K275" s="6">
        <v>38.930999999999997</v>
      </c>
      <c r="L275" s="6">
        <v>42.832999999999998</v>
      </c>
      <c r="M275" s="5" t="s">
        <v>340</v>
      </c>
      <c r="N275" s="5" t="s">
        <v>340</v>
      </c>
      <c r="O275" s="4" t="s">
        <v>997</v>
      </c>
      <c r="P275" s="5" t="s">
        <v>998</v>
      </c>
      <c r="Q275" s="5" t="s">
        <v>340</v>
      </c>
      <c r="R275" s="4" t="s">
        <v>184</v>
      </c>
      <c r="S275" s="4" t="s">
        <v>1135</v>
      </c>
      <c r="T275" s="7">
        <v>12740</v>
      </c>
      <c r="U275" s="7">
        <f>AVERAGE(V275,T275)</f>
        <v>12909</v>
      </c>
      <c r="V275" s="7">
        <v>13078</v>
      </c>
      <c r="W275" s="15" t="s">
        <v>1113</v>
      </c>
      <c r="X275" s="15" t="s">
        <v>1317</v>
      </c>
      <c r="Y275" s="7" t="s">
        <v>340</v>
      </c>
      <c r="Z275" s="7" t="s">
        <v>340</v>
      </c>
      <c r="AA275" s="7" t="s">
        <v>340</v>
      </c>
      <c r="AB275" s="7" t="s">
        <v>340</v>
      </c>
      <c r="AC275" s="7">
        <v>12909</v>
      </c>
      <c r="AD275" s="7">
        <f>U275-T275</f>
        <v>169</v>
      </c>
      <c r="AE275" s="7" t="s">
        <v>340</v>
      </c>
      <c r="AF275" s="7" t="s">
        <v>340</v>
      </c>
      <c r="AG275" s="7" t="s">
        <v>340</v>
      </c>
      <c r="AH275" s="5">
        <v>1</v>
      </c>
      <c r="AI275" s="5">
        <v>3</v>
      </c>
      <c r="AJ275" s="9">
        <f>IF(AND(ISNUMBER(F275),ISNUMBER(G275),ISNUMBER(K275),ISNUMBER(L275)),ACOS(MIN(1,COS(RADIANS(90-F275))*COS(RADIANS(90-K275))+SIN(RADIANS(90-F275))*SIN(RADIANS(90-K275))*COS(RADIANS(G275-L275))))*6371,"N/A")</f>
        <v>1061.4890410849987</v>
      </c>
      <c r="AK275" s="10">
        <f>IF(AND(ISNUMBER(F275),ISNUMBER(G275),ISNUMBER(K275),ISNUMBER(L275)),MOD(DEGREES(ATAN2(COS(RADIANS(K275))*SIN(RADIANS(F275))-SIN(RADIANS(K275))*COS(RADIANS(F275))*COS(RADIANS(G275-L275)),SIN(RADIANS(G275-L275))*COS(RADIANS(F275))))+360,360),"N/A")</f>
        <v>221.20328451729944</v>
      </c>
      <c r="AL275" s="10" t="str">
        <f>IF(AND(ISNUMBER(F275),ISNUMBER(G275),ISNUMBER(M275),ISNUMBER(N275)),ACOS(MIN(1,COS(RADIANS(90-F275))*COS(RADIANS(90-M275))+SIN(RADIANS(90-F275))*SIN(RADIANS(90-M275))*COS(RADIANS(G275-N275))))*6371,"N/A")</f>
        <v>N/A</v>
      </c>
      <c r="AM275" s="10" t="str">
        <f>IF(AND(ISNUMBER(F275),ISNUMBER(G275),ISNUMBER(M275),ISNUMBER(N275)),MOD(DEGREES(ATAN2(COS(RADIANS(M275))*SIN(RADIANS(F275))-SIN(RADIANS(M275))*COS(RADIANS(F275))*COS(RADIANS(G275-N275)),SIN(RADIANS(G275-N275))*COS(RADIANS(F275))))+360,360),"N/A")</f>
        <v>N/A</v>
      </c>
      <c r="AN275" s="2"/>
      <c r="AO275" s="2"/>
    </row>
    <row r="276" spans="1:41" x14ac:dyDescent="0.2">
      <c r="A276" s="4" t="s">
        <v>202</v>
      </c>
      <c r="B276" s="4" t="s">
        <v>54</v>
      </c>
      <c r="C276" s="5">
        <v>607</v>
      </c>
      <c r="D276" s="4" t="s">
        <v>32</v>
      </c>
      <c r="E276" s="4" t="s">
        <v>55</v>
      </c>
      <c r="F276" s="15">
        <v>44.3613</v>
      </c>
      <c r="G276" s="15">
        <v>10.108000000000001</v>
      </c>
      <c r="H276" s="16">
        <v>0</v>
      </c>
      <c r="I276" s="4" t="s">
        <v>1212</v>
      </c>
      <c r="J276" s="4" t="s">
        <v>15</v>
      </c>
      <c r="K276" s="6">
        <v>40.826999999999998</v>
      </c>
      <c r="L276" s="6">
        <v>14.138999999999999</v>
      </c>
      <c r="M276" s="5" t="s">
        <v>340</v>
      </c>
      <c r="N276" s="5" t="s">
        <v>340</v>
      </c>
      <c r="O276" s="4" t="s">
        <v>20</v>
      </c>
      <c r="P276" s="5" t="s">
        <v>340</v>
      </c>
      <c r="Q276" s="5">
        <v>9999</v>
      </c>
      <c r="R276" s="4" t="s">
        <v>698</v>
      </c>
      <c r="S276" s="4" t="s">
        <v>203</v>
      </c>
      <c r="T276" s="7">
        <v>13761</v>
      </c>
      <c r="U276" s="7">
        <v>14029</v>
      </c>
      <c r="V276" s="7">
        <v>14356</v>
      </c>
      <c r="W276" s="15" t="s">
        <v>933</v>
      </c>
      <c r="X276" s="15" t="s">
        <v>1358</v>
      </c>
      <c r="Y276" s="7" t="s">
        <v>340</v>
      </c>
      <c r="Z276" s="7" t="s">
        <v>340</v>
      </c>
      <c r="AA276" s="7" t="s">
        <v>340</v>
      </c>
      <c r="AB276" s="7" t="s">
        <v>340</v>
      </c>
      <c r="AC276" s="7">
        <v>14120</v>
      </c>
      <c r="AD276" s="7">
        <v>710</v>
      </c>
      <c r="AE276" s="7">
        <v>14037</v>
      </c>
      <c r="AF276" s="7">
        <v>156</v>
      </c>
      <c r="AG276" s="7" t="s">
        <v>340</v>
      </c>
      <c r="AH276" s="5">
        <v>1</v>
      </c>
      <c r="AI276" s="5">
        <v>1</v>
      </c>
      <c r="AJ276" s="9">
        <f>IF(AND(ISNUMBER(F276),ISNUMBER(G276),ISNUMBER(K276),ISNUMBER(L276)),ACOS(MIN(1,COS(RADIANS(90-F276))*COS(RADIANS(90-K276))+SIN(RADIANS(90-F276))*SIN(RADIANS(90-K276))*COS(RADIANS(G276-L276))))*6371,"N/A")</f>
        <v>513.01379835377224</v>
      </c>
      <c r="AK276" s="10">
        <f>IF(AND(ISNUMBER(F276),ISNUMBER(G276),ISNUMBER(K276),ISNUMBER(L276)),MOD(DEGREES(ATAN2(COS(RADIANS(K276))*SIN(RADIANS(F276))-SIN(RADIANS(K276))*COS(RADIANS(F276))*COS(RADIANS(G276-L276)),SIN(RADIANS(G276-L276))*COS(RADIANS(F276))))+360,360),"N/A")</f>
        <v>321.33127700785928</v>
      </c>
      <c r="AL276" s="10" t="str">
        <f>IF(AND(ISNUMBER(F276),ISNUMBER(G276),ISNUMBER(M276),ISNUMBER(N276)),ACOS(MIN(1,COS(RADIANS(90-F276))*COS(RADIANS(90-M276))+SIN(RADIANS(90-F276))*SIN(RADIANS(90-M276))*COS(RADIANS(G276-N276))))*6371,"N/A")</f>
        <v>N/A</v>
      </c>
      <c r="AM276" s="10" t="str">
        <f>IF(AND(ISNUMBER(F276),ISNUMBER(G276),ISNUMBER(M276),ISNUMBER(N276)),MOD(DEGREES(ATAN2(COS(RADIANS(M276))*SIN(RADIANS(F276))-SIN(RADIANS(M276))*COS(RADIANS(F276))*COS(RADIANS(G276-N276)),SIN(RADIANS(G276-N276))*COS(RADIANS(F276))))+360,360),"N/A")</f>
        <v>N/A</v>
      </c>
      <c r="AN276" s="2"/>
      <c r="AO276" s="2"/>
    </row>
    <row r="277" spans="1:41" x14ac:dyDescent="0.2">
      <c r="A277" s="4" t="s">
        <v>349</v>
      </c>
      <c r="B277" s="4" t="s">
        <v>72</v>
      </c>
      <c r="C277" s="5">
        <v>521</v>
      </c>
      <c r="D277" s="4" t="s">
        <v>70</v>
      </c>
      <c r="E277" s="4" t="s">
        <v>73</v>
      </c>
      <c r="F277" s="15">
        <v>34.357199999999999</v>
      </c>
      <c r="G277" s="15">
        <v>19.994</v>
      </c>
      <c r="H277" s="16">
        <v>-3054</v>
      </c>
      <c r="I277" s="4" t="s">
        <v>211</v>
      </c>
      <c r="J277" s="4" t="s">
        <v>42</v>
      </c>
      <c r="K277" s="6">
        <v>37.747999999999998</v>
      </c>
      <c r="L277" s="6">
        <v>14.999000000000001</v>
      </c>
      <c r="M277" s="5" t="s">
        <v>340</v>
      </c>
      <c r="N277" s="5" t="s">
        <v>340</v>
      </c>
      <c r="O277" s="4" t="s">
        <v>350</v>
      </c>
      <c r="P277" s="5" t="s">
        <v>340</v>
      </c>
      <c r="Q277" s="5">
        <v>9999</v>
      </c>
      <c r="R277" s="4" t="s">
        <v>41</v>
      </c>
      <c r="S277" s="4" t="s">
        <v>1136</v>
      </c>
      <c r="T277" s="7">
        <v>17825</v>
      </c>
      <c r="U277" s="7">
        <v>18042</v>
      </c>
      <c r="V277" s="7">
        <v>18269</v>
      </c>
      <c r="W277" s="15" t="s">
        <v>933</v>
      </c>
      <c r="X277" s="15" t="s">
        <v>1366</v>
      </c>
      <c r="Y277" s="7" t="s">
        <v>340</v>
      </c>
      <c r="Z277" s="7" t="s">
        <v>340</v>
      </c>
      <c r="AA277" s="7" t="s">
        <v>340</v>
      </c>
      <c r="AB277" s="7" t="s">
        <v>340</v>
      </c>
      <c r="AC277" s="7">
        <v>16440</v>
      </c>
      <c r="AD277" s="7">
        <v>820</v>
      </c>
      <c r="AE277" s="7">
        <v>18044</v>
      </c>
      <c r="AF277" s="7">
        <v>110</v>
      </c>
      <c r="AG277" s="7" t="s">
        <v>340</v>
      </c>
      <c r="AH277" s="5">
        <v>1</v>
      </c>
      <c r="AI277" s="5">
        <v>1</v>
      </c>
      <c r="AJ277" s="9">
        <f>IF(AND(ISNUMBER(F277),ISNUMBER(G277),ISNUMBER(K277),ISNUMBER(L277)),ACOS(MIN(1,COS(RADIANS(90-F277))*COS(RADIANS(90-K277))+SIN(RADIANS(90-F277))*SIN(RADIANS(90-K277))*COS(RADIANS(G277-L277))))*6371,"N/A")</f>
        <v>586.17583028448757</v>
      </c>
      <c r="AK277" s="10">
        <f>IF(AND(ISNUMBER(F277),ISNUMBER(G277),ISNUMBER(K277),ISNUMBER(L277)),MOD(DEGREES(ATAN2(COS(RADIANS(K277))*SIN(RADIANS(F277))-SIN(RADIANS(K277))*COS(RADIANS(F277))*COS(RADIANS(G277-L277)),SIN(RADIANS(G277-L277))*COS(RADIANS(F277))))+360,360),"N/A")</f>
        <v>128.52545005499644</v>
      </c>
      <c r="AL277" s="10" t="str">
        <f>IF(AND(ISNUMBER(F277),ISNUMBER(G277),ISNUMBER(M277),ISNUMBER(N277)),ACOS(MIN(1,COS(RADIANS(90-F277))*COS(RADIANS(90-M277))+SIN(RADIANS(90-F277))*SIN(RADIANS(90-M277))*COS(RADIANS(G277-N277))))*6371,"N/A")</f>
        <v>N/A</v>
      </c>
      <c r="AM277" s="10" t="str">
        <f>IF(AND(ISNUMBER(F277),ISNUMBER(G277),ISNUMBER(M277),ISNUMBER(N277)),MOD(DEGREES(ATAN2(COS(RADIANS(M277))*SIN(RADIANS(F277))-SIN(RADIANS(M277))*COS(RADIANS(F277))*COS(RADIANS(G277-N277)),SIN(RADIANS(G277-N277))*COS(RADIANS(F277))))+360,360),"N/A")</f>
        <v>N/A</v>
      </c>
      <c r="AN277" s="2"/>
      <c r="AO277" s="2"/>
    </row>
    <row r="278" spans="1:41" x14ac:dyDescent="0.2">
      <c r="A278" s="4" t="s">
        <v>351</v>
      </c>
      <c r="B278" s="4" t="s">
        <v>74</v>
      </c>
      <c r="C278" s="5">
        <v>523</v>
      </c>
      <c r="D278" s="4" t="s">
        <v>70</v>
      </c>
      <c r="E278" s="4" t="s">
        <v>73</v>
      </c>
      <c r="F278" s="15">
        <v>34.322499999999998</v>
      </c>
      <c r="G278" s="15">
        <v>20.04</v>
      </c>
      <c r="H278" s="16">
        <v>-2673</v>
      </c>
      <c r="I278" s="4" t="s">
        <v>211</v>
      </c>
      <c r="J278" s="4" t="s">
        <v>42</v>
      </c>
      <c r="K278" s="6">
        <v>37.747999999999998</v>
      </c>
      <c r="L278" s="6">
        <v>14.999000000000001</v>
      </c>
      <c r="M278" s="5" t="s">
        <v>340</v>
      </c>
      <c r="N278" s="5" t="s">
        <v>340</v>
      </c>
      <c r="O278" s="4" t="s">
        <v>350</v>
      </c>
      <c r="P278" s="5" t="s">
        <v>340</v>
      </c>
      <c r="Q278" s="5">
        <v>9999</v>
      </c>
      <c r="R278" s="4" t="s">
        <v>41</v>
      </c>
      <c r="S278" s="4" t="s">
        <v>352</v>
      </c>
      <c r="T278" s="7">
        <v>17825</v>
      </c>
      <c r="U278" s="7">
        <v>18042</v>
      </c>
      <c r="V278" s="7">
        <v>18269</v>
      </c>
      <c r="W278" s="15" t="s">
        <v>933</v>
      </c>
      <c r="X278" s="15" t="s">
        <v>1366</v>
      </c>
      <c r="Y278" s="7" t="s">
        <v>340</v>
      </c>
      <c r="Z278" s="7" t="s">
        <v>340</v>
      </c>
      <c r="AA278" s="7" t="s">
        <v>340</v>
      </c>
      <c r="AB278" s="7" t="s">
        <v>340</v>
      </c>
      <c r="AC278" s="7">
        <v>16440</v>
      </c>
      <c r="AD278" s="7">
        <v>820</v>
      </c>
      <c r="AE278" s="7">
        <v>18044</v>
      </c>
      <c r="AF278" s="7">
        <v>110</v>
      </c>
      <c r="AG278" s="7" t="s">
        <v>340</v>
      </c>
      <c r="AH278" s="5">
        <v>1</v>
      </c>
      <c r="AI278" s="5">
        <v>1</v>
      </c>
      <c r="AJ278" s="9">
        <f>IF(AND(ISNUMBER(F278),ISNUMBER(G278),ISNUMBER(K278),ISNUMBER(L278)),ACOS(MIN(1,COS(RADIANS(90-F278))*COS(RADIANS(90-K278))+SIN(RADIANS(90-F278))*SIN(RADIANS(90-K278))*COS(RADIANS(G278-L278))))*6371,"N/A")</f>
        <v>591.89568594222351</v>
      </c>
      <c r="AK278" s="10">
        <f>IF(AND(ISNUMBER(F278),ISNUMBER(G278),ISNUMBER(K278),ISNUMBER(L278)),MOD(DEGREES(ATAN2(COS(RADIANS(K278))*SIN(RADIANS(F278))-SIN(RADIANS(K278))*COS(RADIANS(F278))*COS(RADIANS(G278-L278)),SIN(RADIANS(G278-L278))*COS(RADIANS(F278))))+360,360),"N/A")</f>
        <v>128.53448521396137</v>
      </c>
      <c r="AL278" s="10" t="str">
        <f>IF(AND(ISNUMBER(F278),ISNUMBER(G278),ISNUMBER(M278),ISNUMBER(N278)),ACOS(MIN(1,COS(RADIANS(90-F278))*COS(RADIANS(90-M278))+SIN(RADIANS(90-F278))*SIN(RADIANS(90-M278))*COS(RADIANS(G278-N278))))*6371,"N/A")</f>
        <v>N/A</v>
      </c>
      <c r="AM278" s="10" t="str">
        <f>IF(AND(ISNUMBER(F278),ISNUMBER(G278),ISNUMBER(M278),ISNUMBER(N278)),MOD(DEGREES(ATAN2(COS(RADIANS(M278))*SIN(RADIANS(F278))-SIN(RADIANS(M278))*COS(RADIANS(F278))*COS(RADIANS(G278-N278)),SIN(RADIANS(G278-N278))*COS(RADIANS(F278))))+360,360),"N/A")</f>
        <v>N/A</v>
      </c>
      <c r="AN278" s="2"/>
      <c r="AO278" s="2"/>
    </row>
    <row r="279" spans="1:41" x14ac:dyDescent="0.2">
      <c r="A279" s="4" t="s">
        <v>353</v>
      </c>
      <c r="B279" s="4" t="s">
        <v>75</v>
      </c>
      <c r="C279" s="5">
        <v>525</v>
      </c>
      <c r="D279" s="4" t="s">
        <v>70</v>
      </c>
      <c r="E279" s="4" t="s">
        <v>73</v>
      </c>
      <c r="F279" s="15">
        <v>34.333199999999998</v>
      </c>
      <c r="G279" s="15">
        <v>20.070499999999999</v>
      </c>
      <c r="H279" s="16">
        <v>-2982</v>
      </c>
      <c r="I279" s="4" t="s">
        <v>211</v>
      </c>
      <c r="J279" s="4" t="s">
        <v>42</v>
      </c>
      <c r="K279" s="6">
        <v>37.747999999999998</v>
      </c>
      <c r="L279" s="6">
        <v>14.999000000000001</v>
      </c>
      <c r="M279" s="5" t="s">
        <v>340</v>
      </c>
      <c r="N279" s="5" t="s">
        <v>340</v>
      </c>
      <c r="O279" s="4" t="s">
        <v>350</v>
      </c>
      <c r="P279" s="5" t="s">
        <v>340</v>
      </c>
      <c r="Q279" s="5">
        <v>9999</v>
      </c>
      <c r="R279" s="4" t="s">
        <v>41</v>
      </c>
      <c r="S279" s="4" t="s">
        <v>352</v>
      </c>
      <c r="T279" s="7">
        <v>17825</v>
      </c>
      <c r="U279" s="7">
        <v>18042</v>
      </c>
      <c r="V279" s="7">
        <v>18269</v>
      </c>
      <c r="W279" s="15" t="s">
        <v>933</v>
      </c>
      <c r="X279" s="15" t="s">
        <v>1366</v>
      </c>
      <c r="Y279" s="7" t="s">
        <v>340</v>
      </c>
      <c r="Z279" s="7" t="s">
        <v>340</v>
      </c>
      <c r="AA279" s="7" t="s">
        <v>340</v>
      </c>
      <c r="AB279" s="7" t="s">
        <v>340</v>
      </c>
      <c r="AC279" s="7">
        <v>16440</v>
      </c>
      <c r="AD279" s="7">
        <v>820</v>
      </c>
      <c r="AE279" s="7">
        <v>18044</v>
      </c>
      <c r="AF279" s="7">
        <v>110</v>
      </c>
      <c r="AG279" s="7" t="s">
        <v>340</v>
      </c>
      <c r="AH279" s="5">
        <v>1</v>
      </c>
      <c r="AI279" s="5">
        <v>1</v>
      </c>
      <c r="AJ279" s="9">
        <f>IF(AND(ISNUMBER(F279),ISNUMBER(G279),ISNUMBER(K279),ISNUMBER(L279)),ACOS(MIN(1,COS(RADIANS(90-F279))*COS(RADIANS(90-K279))+SIN(RADIANS(90-F279))*SIN(RADIANS(90-K279))*COS(RADIANS(G279-L279))))*6371,"N/A")</f>
        <v>593.21074478928483</v>
      </c>
      <c r="AK279" s="10">
        <f>IF(AND(ISNUMBER(F279),ISNUMBER(G279),ISNUMBER(K279),ISNUMBER(L279)),MOD(DEGREES(ATAN2(COS(RADIANS(K279))*SIN(RADIANS(F279))-SIN(RADIANS(K279))*COS(RADIANS(F279))*COS(RADIANS(G279-L279)),SIN(RADIANS(G279-L279))*COS(RADIANS(F279))))+360,360),"N/A")</f>
        <v>128.26876192625645</v>
      </c>
      <c r="AL279" s="10" t="str">
        <f>IF(AND(ISNUMBER(F279),ISNUMBER(G279),ISNUMBER(M279),ISNUMBER(N279)),ACOS(MIN(1,COS(RADIANS(90-F279))*COS(RADIANS(90-M279))+SIN(RADIANS(90-F279))*SIN(RADIANS(90-M279))*COS(RADIANS(G279-N279))))*6371,"N/A")</f>
        <v>N/A</v>
      </c>
      <c r="AM279" s="10" t="str">
        <f>IF(AND(ISNUMBER(F279),ISNUMBER(G279),ISNUMBER(M279),ISNUMBER(N279)),MOD(DEGREES(ATAN2(COS(RADIANS(M279))*SIN(RADIANS(F279))-SIN(RADIANS(M279))*COS(RADIANS(F279))*COS(RADIANS(G279-N279)),SIN(RADIANS(G279-N279))*COS(RADIANS(F279))))+360,360),"N/A")</f>
        <v>N/A</v>
      </c>
      <c r="AN279" s="2"/>
      <c r="AO279" s="2"/>
    </row>
    <row r="280" spans="1:41" x14ac:dyDescent="0.2">
      <c r="A280" s="4" t="s">
        <v>341</v>
      </c>
      <c r="B280" s="4" t="s">
        <v>99</v>
      </c>
      <c r="C280" s="5">
        <v>593</v>
      </c>
      <c r="D280" s="4" t="s">
        <v>70</v>
      </c>
      <c r="E280" s="4" t="s">
        <v>89</v>
      </c>
      <c r="F280" s="15">
        <v>40.583300000000001</v>
      </c>
      <c r="G280" s="15">
        <v>13.566700000000001</v>
      </c>
      <c r="H280" s="16">
        <v>-2430</v>
      </c>
      <c r="I280" s="4" t="s">
        <v>216</v>
      </c>
      <c r="J280" s="4" t="s">
        <v>15</v>
      </c>
      <c r="K280" s="6">
        <v>40.826999999999998</v>
      </c>
      <c r="L280" s="6">
        <v>14.138999999999999</v>
      </c>
      <c r="M280" s="5" t="s">
        <v>340</v>
      </c>
      <c r="N280" s="5" t="s">
        <v>340</v>
      </c>
      <c r="O280" s="4" t="s">
        <v>20</v>
      </c>
      <c r="P280" s="5" t="s">
        <v>340</v>
      </c>
      <c r="Q280" s="5">
        <v>9999</v>
      </c>
      <c r="R280" s="4" t="s">
        <v>41</v>
      </c>
      <c r="T280" s="7">
        <v>13761</v>
      </c>
      <c r="U280" s="7">
        <v>14029</v>
      </c>
      <c r="V280" s="7">
        <v>14356</v>
      </c>
      <c r="W280" s="15" t="s">
        <v>933</v>
      </c>
      <c r="X280" s="15" t="s">
        <v>1358</v>
      </c>
      <c r="Y280" s="7" t="s">
        <v>340</v>
      </c>
      <c r="Z280" s="7" t="s">
        <v>340</v>
      </c>
      <c r="AA280" s="7" t="s">
        <v>340</v>
      </c>
      <c r="AB280" s="7" t="s">
        <v>340</v>
      </c>
      <c r="AC280" s="7">
        <v>14120</v>
      </c>
      <c r="AD280" s="7">
        <v>710</v>
      </c>
      <c r="AE280" s="7">
        <v>14037</v>
      </c>
      <c r="AF280" s="7">
        <v>156</v>
      </c>
      <c r="AG280" s="7" t="s">
        <v>340</v>
      </c>
      <c r="AH280" s="5">
        <v>1</v>
      </c>
      <c r="AI280" s="5">
        <v>1</v>
      </c>
      <c r="AJ280" s="9">
        <f>IF(AND(ISNUMBER(F280),ISNUMBER(G280),ISNUMBER(K280),ISNUMBER(L280)),ACOS(MIN(1,COS(RADIANS(90-F280))*COS(RADIANS(90-K280))+SIN(RADIANS(90-F280))*SIN(RADIANS(90-K280))*COS(RADIANS(G280-L280))))*6371,"N/A")</f>
        <v>55.331192083045423</v>
      </c>
      <c r="AK280" s="10">
        <f>IF(AND(ISNUMBER(F280),ISNUMBER(G280),ISNUMBER(K280),ISNUMBER(L280)),MOD(DEGREES(ATAN2(COS(RADIANS(K280))*SIN(RADIANS(F280))-SIN(RADIANS(K280))*COS(RADIANS(F280))*COS(RADIANS(G280-L280)),SIN(RADIANS(G280-L280))*COS(RADIANS(F280))))+360,360),"N/A")</f>
        <v>240.86308632700747</v>
      </c>
      <c r="AL280" s="10" t="str">
        <f>IF(AND(ISNUMBER(F280),ISNUMBER(G280),ISNUMBER(M280),ISNUMBER(N280)),ACOS(MIN(1,COS(RADIANS(90-F280))*COS(RADIANS(90-M280))+SIN(RADIANS(90-F280))*SIN(RADIANS(90-M280))*COS(RADIANS(G280-N280))))*6371,"N/A")</f>
        <v>N/A</v>
      </c>
      <c r="AM280" s="10" t="str">
        <f>IF(AND(ISNUMBER(F280),ISNUMBER(G280),ISNUMBER(M280),ISNUMBER(N280)),MOD(DEGREES(ATAN2(COS(RADIANS(M280))*SIN(RADIANS(F280))-SIN(RADIANS(M280))*COS(RADIANS(F280))*COS(RADIANS(G280-N280)),SIN(RADIANS(G280-N280))*COS(RADIANS(F280))))+360,360),"N/A")</f>
        <v>N/A</v>
      </c>
      <c r="AN280" s="2"/>
      <c r="AO280" s="2"/>
    </row>
    <row r="281" spans="1:41" x14ac:dyDescent="0.2">
      <c r="A281" s="4" t="s">
        <v>338</v>
      </c>
      <c r="B281" s="4" t="s">
        <v>100</v>
      </c>
      <c r="C281" s="5">
        <v>597</v>
      </c>
      <c r="D281" s="4" t="s">
        <v>70</v>
      </c>
      <c r="E281" s="4" t="s">
        <v>71</v>
      </c>
      <c r="F281" s="15">
        <v>41.75</v>
      </c>
      <c r="G281" s="15">
        <v>17.616700000000002</v>
      </c>
      <c r="H281" s="16">
        <v>-1077</v>
      </c>
      <c r="I281" s="4" t="s">
        <v>217</v>
      </c>
      <c r="J281" s="4" t="s">
        <v>15</v>
      </c>
      <c r="K281" s="6">
        <v>40.826999999999998</v>
      </c>
      <c r="L281" s="6">
        <v>14.138999999999999</v>
      </c>
      <c r="M281" s="5" t="s">
        <v>340</v>
      </c>
      <c r="N281" s="5" t="s">
        <v>340</v>
      </c>
      <c r="O281" s="4" t="s">
        <v>20</v>
      </c>
      <c r="P281" s="5" t="s">
        <v>340</v>
      </c>
      <c r="Q281" s="5">
        <v>9999</v>
      </c>
      <c r="R281" s="4" t="s">
        <v>41</v>
      </c>
      <c r="S281" s="4" t="s">
        <v>1121</v>
      </c>
      <c r="T281" s="7">
        <v>13761</v>
      </c>
      <c r="U281" s="7">
        <v>14029</v>
      </c>
      <c r="V281" s="7">
        <v>14356</v>
      </c>
      <c r="W281" s="15" t="s">
        <v>933</v>
      </c>
      <c r="X281" s="15" t="s">
        <v>1358</v>
      </c>
      <c r="Y281" s="7" t="s">
        <v>340</v>
      </c>
      <c r="Z281" s="7" t="s">
        <v>340</v>
      </c>
      <c r="AA281" s="7" t="s">
        <v>340</v>
      </c>
      <c r="AB281" s="7" t="s">
        <v>340</v>
      </c>
      <c r="AC281" s="7">
        <v>14120</v>
      </c>
      <c r="AD281" s="7">
        <v>710</v>
      </c>
      <c r="AE281" s="7">
        <v>14037</v>
      </c>
      <c r="AF281" s="7">
        <v>156</v>
      </c>
      <c r="AG281" s="7" t="s">
        <v>340</v>
      </c>
      <c r="AH281" s="5">
        <v>1</v>
      </c>
      <c r="AI281" s="5">
        <v>1</v>
      </c>
      <c r="AJ281" s="9">
        <f>IF(AND(ISNUMBER(F281),ISNUMBER(G281),ISNUMBER(K281),ISNUMBER(L281)),ACOS(MIN(1,COS(RADIANS(90-F281))*COS(RADIANS(90-K281))+SIN(RADIANS(90-F281))*SIN(RADIANS(90-K281))*COS(RADIANS(G281-L281))))*6371,"N/A")</f>
        <v>308.13205969310246</v>
      </c>
      <c r="AK281" s="10">
        <f>IF(AND(ISNUMBER(F281),ISNUMBER(G281),ISNUMBER(K281),ISNUMBER(L281)),MOD(DEGREES(ATAN2(COS(RADIANS(K281))*SIN(RADIANS(F281))-SIN(RADIANS(K281))*COS(RADIANS(F281))*COS(RADIANS(G281-L281)),SIN(RADIANS(G281-L281))*COS(RADIANS(F281))))+360,360),"N/A")</f>
        <v>69.404065734579831</v>
      </c>
      <c r="AL281" s="10" t="str">
        <f>IF(AND(ISNUMBER(F281),ISNUMBER(G281),ISNUMBER(M281),ISNUMBER(N281)),ACOS(MIN(1,COS(RADIANS(90-F281))*COS(RADIANS(90-M281))+SIN(RADIANS(90-F281))*SIN(RADIANS(90-M281))*COS(RADIANS(G281-N281))))*6371,"N/A")</f>
        <v>N/A</v>
      </c>
      <c r="AM281" s="10" t="str">
        <f>IF(AND(ISNUMBER(F281),ISNUMBER(G281),ISNUMBER(M281),ISNUMBER(N281)),MOD(DEGREES(ATAN2(COS(RADIANS(M281))*SIN(RADIANS(F281))-SIN(RADIANS(M281))*COS(RADIANS(F281))*COS(RADIANS(G281-N281)),SIN(RADIANS(G281-N281))*COS(RADIANS(F281))))+360,360),"N/A")</f>
        <v>N/A</v>
      </c>
      <c r="AN281" s="2"/>
      <c r="AO281" s="2"/>
    </row>
    <row r="282" spans="1:41" x14ac:dyDescent="0.2">
      <c r="A282" s="4" t="s">
        <v>339</v>
      </c>
      <c r="B282" s="4" t="s">
        <v>100</v>
      </c>
      <c r="C282" s="5">
        <v>597</v>
      </c>
      <c r="D282" s="4" t="s">
        <v>70</v>
      </c>
      <c r="E282" s="4" t="s">
        <v>71</v>
      </c>
      <c r="F282" s="15">
        <v>41.75</v>
      </c>
      <c r="G282" s="15">
        <v>17.616700000000002</v>
      </c>
      <c r="H282" s="16">
        <v>-1077</v>
      </c>
      <c r="I282" s="4" t="s">
        <v>217</v>
      </c>
      <c r="J282" s="4" t="s">
        <v>16</v>
      </c>
      <c r="K282" s="6">
        <v>40.820999999999998</v>
      </c>
      <c r="L282" s="6">
        <v>14.426</v>
      </c>
      <c r="M282" s="5" t="s">
        <v>340</v>
      </c>
      <c r="N282" s="5" t="s">
        <v>340</v>
      </c>
      <c r="O282" s="4" t="s">
        <v>229</v>
      </c>
      <c r="P282" s="5" t="s">
        <v>340</v>
      </c>
      <c r="Q282" s="5">
        <v>9999</v>
      </c>
      <c r="R282" s="4" t="s">
        <v>41</v>
      </c>
      <c r="S282" s="4" t="s">
        <v>1121</v>
      </c>
      <c r="T282" s="12">
        <v>8723</v>
      </c>
      <c r="U282" s="7">
        <v>8866</v>
      </c>
      <c r="V282" s="12">
        <v>9009</v>
      </c>
      <c r="W282" s="15" t="s">
        <v>1091</v>
      </c>
      <c r="X282" s="21" t="s">
        <v>1360</v>
      </c>
      <c r="Y282" s="7">
        <v>8010</v>
      </c>
      <c r="Z282" s="7">
        <v>35</v>
      </c>
      <c r="AA282" s="7" t="s">
        <v>340</v>
      </c>
      <c r="AB282" s="7" t="s">
        <v>340</v>
      </c>
      <c r="AC282" s="7">
        <v>9680</v>
      </c>
      <c r="AD282" s="7">
        <v>480</v>
      </c>
      <c r="AE282" s="7" t="s">
        <v>340</v>
      </c>
      <c r="AF282" s="7" t="s">
        <v>340</v>
      </c>
      <c r="AG282" s="7" t="s">
        <v>340</v>
      </c>
      <c r="AH282" s="5">
        <v>1</v>
      </c>
      <c r="AI282" s="5">
        <v>1</v>
      </c>
      <c r="AJ282" s="9">
        <f>IF(AND(ISNUMBER(F282),ISNUMBER(G282),ISNUMBER(K282),ISNUMBER(L282)),ACOS(MIN(1,COS(RADIANS(90-F282))*COS(RADIANS(90-K282))+SIN(RADIANS(90-F282))*SIN(RADIANS(90-K282))*COS(RADIANS(G282-L282))))*6371,"N/A")</f>
        <v>285.89037629004861</v>
      </c>
      <c r="AK282" s="10">
        <f>IF(AND(ISNUMBER(F282),ISNUMBER(G282),ISNUMBER(K282),ISNUMBER(L282)),MOD(DEGREES(ATAN2(COS(RADIANS(K282))*SIN(RADIANS(F282))-SIN(RADIANS(K282))*COS(RADIANS(F282))*COS(RADIANS(G282-L282)),SIN(RADIANS(G282-L282))*COS(RADIANS(F282))))+360,360),"N/A")</f>
        <v>67.77241682685235</v>
      </c>
      <c r="AL282" s="10" t="str">
        <f>IF(AND(ISNUMBER(F282),ISNUMBER(G282),ISNUMBER(M282),ISNUMBER(N282)),ACOS(MIN(1,COS(RADIANS(90-F282))*COS(RADIANS(90-M282))+SIN(RADIANS(90-F282))*SIN(RADIANS(90-M282))*COS(RADIANS(G282-N282))))*6371,"N/A")</f>
        <v>N/A</v>
      </c>
      <c r="AM282" s="10" t="str">
        <f>IF(AND(ISNUMBER(F282),ISNUMBER(G282),ISNUMBER(M282),ISNUMBER(N282)),MOD(DEGREES(ATAN2(COS(RADIANS(M282))*SIN(RADIANS(F282))-SIN(RADIANS(M282))*COS(RADIANS(F282))*COS(RADIANS(G282-N282)),SIN(RADIANS(G282-N282))*COS(RADIANS(F282))))+360,360),"N/A")</f>
        <v>N/A</v>
      </c>
      <c r="AN282" s="2"/>
      <c r="AO282" s="2"/>
    </row>
    <row r="283" spans="1:41" x14ac:dyDescent="0.2">
      <c r="A283" s="4" t="s">
        <v>430</v>
      </c>
      <c r="B283" s="4" t="s">
        <v>24</v>
      </c>
      <c r="C283" s="5">
        <v>968</v>
      </c>
      <c r="D283" s="4" t="s">
        <v>22</v>
      </c>
      <c r="E283" s="4" t="s">
        <v>25</v>
      </c>
      <c r="F283" s="15">
        <v>42.968899999999998</v>
      </c>
      <c r="G283" s="15">
        <v>16.720300000000002</v>
      </c>
      <c r="H283" s="16">
        <v>140</v>
      </c>
      <c r="I283" s="4" t="s">
        <v>429</v>
      </c>
      <c r="J283" s="4" t="s">
        <v>15</v>
      </c>
      <c r="K283" s="6">
        <v>40.826999999999998</v>
      </c>
      <c r="L283" s="6">
        <v>14.138999999999999</v>
      </c>
      <c r="M283" s="5" t="s">
        <v>340</v>
      </c>
      <c r="N283" s="5" t="s">
        <v>340</v>
      </c>
      <c r="O283" s="4" t="s">
        <v>20</v>
      </c>
      <c r="P283" s="5" t="s">
        <v>340</v>
      </c>
      <c r="Q283" s="5">
        <v>9999</v>
      </c>
      <c r="R283" s="4" t="s">
        <v>698</v>
      </c>
      <c r="S283" s="4" t="s">
        <v>1121</v>
      </c>
      <c r="T283" s="7">
        <v>13761</v>
      </c>
      <c r="U283" s="7">
        <v>14029</v>
      </c>
      <c r="V283" s="7">
        <v>14356</v>
      </c>
      <c r="W283" s="15" t="s">
        <v>933</v>
      </c>
      <c r="X283" s="15" t="s">
        <v>1358</v>
      </c>
      <c r="Y283" s="7" t="s">
        <v>340</v>
      </c>
      <c r="Z283" s="7" t="s">
        <v>340</v>
      </c>
      <c r="AA283" s="7" t="s">
        <v>340</v>
      </c>
      <c r="AB283" s="7" t="s">
        <v>340</v>
      </c>
      <c r="AC283" s="7">
        <v>14120</v>
      </c>
      <c r="AD283" s="7">
        <v>710</v>
      </c>
      <c r="AE283" s="7">
        <v>14037</v>
      </c>
      <c r="AF283" s="7">
        <v>156</v>
      </c>
      <c r="AG283" s="7" t="s">
        <v>340</v>
      </c>
      <c r="AH283" s="5">
        <v>1</v>
      </c>
      <c r="AI283" s="5">
        <v>1</v>
      </c>
      <c r="AJ283" s="9">
        <f>IF(AND(ISNUMBER(F283),ISNUMBER(G283),ISNUMBER(K283),ISNUMBER(L283)),ACOS(MIN(1,COS(RADIANS(90-F283))*COS(RADIANS(90-K283))+SIN(RADIANS(90-F283))*SIN(RADIANS(90-K283))*COS(RADIANS(G283-L283))))*6371,"N/A")</f>
        <v>319.91664558418933</v>
      </c>
      <c r="AK283" s="10">
        <f>IF(AND(ISNUMBER(F283),ISNUMBER(G283),ISNUMBER(K283),ISNUMBER(L283)),MOD(DEGREES(ATAN2(COS(RADIANS(K283))*SIN(RADIANS(F283))-SIN(RADIANS(K283))*COS(RADIANS(F283))*COS(RADIANS(G283-L283)),SIN(RADIANS(G283-L283))*COS(RADIANS(F283))))+360,360),"N/A")</f>
        <v>41.037465762849649</v>
      </c>
      <c r="AL283" s="10" t="str">
        <f>IF(AND(ISNUMBER(F283),ISNUMBER(G283),ISNUMBER(M283),ISNUMBER(N283)),ACOS(MIN(1,COS(RADIANS(90-F283))*COS(RADIANS(90-M283))+SIN(RADIANS(90-F283))*SIN(RADIANS(90-M283))*COS(RADIANS(G283-N283))))*6371,"N/A")</f>
        <v>N/A</v>
      </c>
      <c r="AM283" s="10" t="str">
        <f>IF(AND(ISNUMBER(F283),ISNUMBER(G283),ISNUMBER(M283),ISNUMBER(N283)),MOD(DEGREES(ATAN2(COS(RADIANS(M283))*SIN(RADIANS(F283))-SIN(RADIANS(M283))*COS(RADIANS(F283))*COS(RADIANS(G283-N283)),SIN(RADIANS(G283-N283))*COS(RADIANS(F283))))+360,360),"N/A")</f>
        <v>N/A</v>
      </c>
      <c r="AN283" s="2"/>
      <c r="AO283" s="2"/>
    </row>
    <row r="284" spans="1:41" x14ac:dyDescent="0.2">
      <c r="A284" s="4" t="s">
        <v>337</v>
      </c>
      <c r="B284" s="4" t="s">
        <v>468</v>
      </c>
      <c r="C284" s="5">
        <v>613</v>
      </c>
      <c r="D284" s="4" t="s">
        <v>32</v>
      </c>
      <c r="E284" s="4" t="s">
        <v>467</v>
      </c>
      <c r="F284" s="15">
        <v>42.612000000000002</v>
      </c>
      <c r="G284" s="15">
        <v>11.7697</v>
      </c>
      <c r="H284" s="16">
        <v>452</v>
      </c>
      <c r="I284" s="4" t="s">
        <v>40</v>
      </c>
      <c r="J284" s="4" t="s">
        <v>42</v>
      </c>
      <c r="K284" s="6">
        <v>37.747999999999998</v>
      </c>
      <c r="L284" s="6">
        <v>14.999000000000001</v>
      </c>
      <c r="M284" s="5" t="s">
        <v>340</v>
      </c>
      <c r="N284" s="5" t="s">
        <v>340</v>
      </c>
      <c r="O284" s="4" t="s">
        <v>877</v>
      </c>
      <c r="P284" s="5" t="s">
        <v>340</v>
      </c>
      <c r="Q284" s="5">
        <v>9999</v>
      </c>
      <c r="R284" s="4" t="s">
        <v>41</v>
      </c>
      <c r="S284" s="4" t="s">
        <v>1121</v>
      </c>
      <c r="T284" s="7">
        <v>17048</v>
      </c>
      <c r="U284" s="7">
        <v>17294</v>
      </c>
      <c r="V284" s="7">
        <v>17717</v>
      </c>
      <c r="W284" s="15" t="s">
        <v>934</v>
      </c>
      <c r="X284" s="15" t="s">
        <v>1365</v>
      </c>
      <c r="Y284" s="7">
        <v>14650</v>
      </c>
      <c r="Z284" s="7">
        <v>90</v>
      </c>
      <c r="AA284" s="7" t="s">
        <v>340</v>
      </c>
      <c r="AB284" s="7" t="s">
        <v>340</v>
      </c>
      <c r="AC284" s="7">
        <v>16440</v>
      </c>
      <c r="AD284" s="7">
        <v>820</v>
      </c>
      <c r="AE284" s="7">
        <v>17304</v>
      </c>
      <c r="AF284" s="7">
        <v>152</v>
      </c>
      <c r="AG284" s="7" t="s">
        <v>340</v>
      </c>
      <c r="AH284" s="5">
        <v>1</v>
      </c>
      <c r="AI284" s="5">
        <v>1</v>
      </c>
      <c r="AJ284" s="9">
        <f>IF(AND(ISNUMBER(F284),ISNUMBER(G284),ISNUMBER(K284),ISNUMBER(L284)),ACOS(MIN(1,COS(RADIANS(90-F284))*COS(RADIANS(90-K284))+SIN(RADIANS(90-F284))*SIN(RADIANS(90-K284))*COS(RADIANS(G284-L284))))*6371,"N/A")</f>
        <v>606.33039519568865</v>
      </c>
      <c r="AK284" s="10">
        <f>IF(AND(ISNUMBER(F284),ISNUMBER(G284),ISNUMBER(K284),ISNUMBER(L284)),MOD(DEGREES(ATAN2(COS(RADIANS(K284))*SIN(RADIANS(F284))-SIN(RADIANS(K284))*COS(RADIANS(F284))*COS(RADIANS(G284-L284)),SIN(RADIANS(G284-L284))*COS(RADIANS(F284))))+360,360),"N/A")</f>
        <v>334.13348577174401</v>
      </c>
      <c r="AL284" s="10" t="str">
        <f>IF(AND(ISNUMBER(F284),ISNUMBER(G284),ISNUMBER(M284),ISNUMBER(N284)),ACOS(MIN(1,COS(RADIANS(90-F284))*COS(RADIANS(90-M284))+SIN(RADIANS(90-F284))*SIN(RADIANS(90-M284))*COS(RADIANS(G284-N284))))*6371,"N/A")</f>
        <v>N/A</v>
      </c>
      <c r="AM284" s="10" t="str">
        <f>IF(AND(ISNUMBER(F284),ISNUMBER(G284),ISNUMBER(M284),ISNUMBER(N284)),MOD(DEGREES(ATAN2(COS(RADIANS(M284))*SIN(RADIANS(F284))-SIN(RADIANS(M284))*COS(RADIANS(F284))*COS(RADIANS(G284-N284)),SIN(RADIANS(G284-N284))*COS(RADIANS(F284))))+360,360),"N/A")</f>
        <v>N/A</v>
      </c>
      <c r="AN284" s="2"/>
      <c r="AO284" s="2"/>
    </row>
    <row r="285" spans="1:41" x14ac:dyDescent="0.2">
      <c r="A285" s="4" t="s">
        <v>336</v>
      </c>
      <c r="B285" s="4" t="s">
        <v>468</v>
      </c>
      <c r="C285" s="5">
        <v>613</v>
      </c>
      <c r="D285" s="4" t="s">
        <v>32</v>
      </c>
      <c r="E285" s="4" t="s">
        <v>467</v>
      </c>
      <c r="F285" s="15">
        <v>42.612000000000002</v>
      </c>
      <c r="G285" s="15">
        <v>11.7697</v>
      </c>
      <c r="H285" s="16">
        <v>452</v>
      </c>
      <c r="I285" s="4" t="s">
        <v>40</v>
      </c>
      <c r="J285" s="4" t="s">
        <v>16</v>
      </c>
      <c r="K285" s="6">
        <v>40.820999999999998</v>
      </c>
      <c r="L285" s="6">
        <v>14.426</v>
      </c>
      <c r="M285" s="5" t="s">
        <v>340</v>
      </c>
      <c r="N285" s="5" t="s">
        <v>340</v>
      </c>
      <c r="O285" s="4" t="s">
        <v>38</v>
      </c>
      <c r="P285" s="5" t="s">
        <v>340</v>
      </c>
      <c r="Q285" s="5">
        <v>9999</v>
      </c>
      <c r="R285" s="4" t="s">
        <v>41</v>
      </c>
      <c r="S285" s="4" t="s">
        <v>1121</v>
      </c>
      <c r="T285" s="7" t="s">
        <v>920</v>
      </c>
      <c r="U285" s="7">
        <v>3839</v>
      </c>
      <c r="V285" s="7" t="s">
        <v>921</v>
      </c>
      <c r="W285" s="15" t="s">
        <v>922</v>
      </c>
      <c r="X285" s="21" t="s">
        <v>919</v>
      </c>
      <c r="Y285" s="7" t="s">
        <v>340</v>
      </c>
      <c r="Z285" s="7" t="s">
        <v>340</v>
      </c>
      <c r="AA285" s="7" t="s">
        <v>340</v>
      </c>
      <c r="AB285" s="7" t="s">
        <v>340</v>
      </c>
      <c r="AC285" s="7">
        <v>4310</v>
      </c>
      <c r="AD285" s="7">
        <v>220</v>
      </c>
      <c r="AE285" s="7">
        <v>3839</v>
      </c>
      <c r="AF285" s="7">
        <v>21</v>
      </c>
      <c r="AG285" s="7" t="s">
        <v>340</v>
      </c>
      <c r="AH285" s="5">
        <v>1</v>
      </c>
      <c r="AI285" s="5">
        <v>1</v>
      </c>
      <c r="AJ285" s="9">
        <f>IF(AND(ISNUMBER(F285),ISNUMBER(G285),ISNUMBER(K285),ISNUMBER(L285)),ACOS(MIN(1,COS(RADIANS(90-F285))*COS(RADIANS(90-K285))+SIN(RADIANS(90-F285))*SIN(RADIANS(90-K285))*COS(RADIANS(G285-L285))))*6371,"N/A")</f>
        <v>297.0741860038591</v>
      </c>
      <c r="AK285" s="10">
        <f>IF(AND(ISNUMBER(F285),ISNUMBER(G285),ISNUMBER(K285),ISNUMBER(L285)),MOD(DEGREES(ATAN2(COS(RADIANS(K285))*SIN(RADIANS(F285))-SIN(RADIANS(K285))*COS(RADIANS(F285))*COS(RADIANS(G285-L285)),SIN(RADIANS(G285-L285))*COS(RADIANS(F285))))+360,360),"N/A")</f>
        <v>312.96843910007135</v>
      </c>
      <c r="AL285" s="10" t="str">
        <f>IF(AND(ISNUMBER(F285),ISNUMBER(G285),ISNUMBER(M285),ISNUMBER(N285)),ACOS(MIN(1,COS(RADIANS(90-F285))*COS(RADIANS(90-M285))+SIN(RADIANS(90-F285))*SIN(RADIANS(90-M285))*COS(RADIANS(G285-N285))))*6371,"N/A")</f>
        <v>N/A</v>
      </c>
      <c r="AM285" s="10" t="str">
        <f>IF(AND(ISNUMBER(F285),ISNUMBER(G285),ISNUMBER(M285),ISNUMBER(N285)),MOD(DEGREES(ATAN2(COS(RADIANS(M285))*SIN(RADIANS(F285))-SIN(RADIANS(M285))*COS(RADIANS(F285))*COS(RADIANS(G285-N285)),SIN(RADIANS(G285-N285))*COS(RADIANS(F285))))+360,360),"N/A")</f>
        <v>N/A</v>
      </c>
      <c r="AN285" s="2"/>
      <c r="AO285" s="2"/>
    </row>
    <row r="286" spans="1:41" x14ac:dyDescent="0.2">
      <c r="A286" s="4" t="s">
        <v>406</v>
      </c>
      <c r="B286" s="4" t="s">
        <v>1493</v>
      </c>
      <c r="C286" s="5" t="s">
        <v>340</v>
      </c>
      <c r="D286" s="4" t="s">
        <v>22</v>
      </c>
      <c r="E286" s="4" t="s">
        <v>402</v>
      </c>
      <c r="F286" s="15">
        <v>42.7715272923</v>
      </c>
      <c r="G286" s="15">
        <v>17.369540742200002</v>
      </c>
      <c r="H286" s="16" t="s">
        <v>340</v>
      </c>
      <c r="I286" s="4" t="s">
        <v>409</v>
      </c>
      <c r="J286" s="4" t="s">
        <v>15</v>
      </c>
      <c r="K286" s="6">
        <v>40.826999999999998</v>
      </c>
      <c r="L286" s="6">
        <v>14.138999999999999</v>
      </c>
      <c r="M286" s="5" t="s">
        <v>340</v>
      </c>
      <c r="N286" s="5" t="s">
        <v>340</v>
      </c>
      <c r="O286" s="4" t="s">
        <v>869</v>
      </c>
      <c r="P286" s="5">
        <v>16</v>
      </c>
      <c r="Q286" s="5" t="s">
        <v>340</v>
      </c>
      <c r="R286" s="4" t="s">
        <v>184</v>
      </c>
      <c r="S286" s="4" t="s">
        <v>403</v>
      </c>
      <c r="T286" s="7">
        <v>4470</v>
      </c>
      <c r="U286" s="7">
        <v>5060</v>
      </c>
      <c r="V286" s="7">
        <v>5650</v>
      </c>
      <c r="W286" s="15" t="s">
        <v>928</v>
      </c>
      <c r="X286" s="15" t="s">
        <v>1384</v>
      </c>
      <c r="Y286" s="7" t="s">
        <v>340</v>
      </c>
      <c r="Z286" s="7" t="s">
        <v>340</v>
      </c>
      <c r="AA286" s="7" t="s">
        <v>340</v>
      </c>
      <c r="AB286" s="7" t="s">
        <v>340</v>
      </c>
      <c r="AC286" s="7" t="s">
        <v>340</v>
      </c>
      <c r="AD286" s="7" t="s">
        <v>340</v>
      </c>
      <c r="AE286" s="7">
        <v>5060</v>
      </c>
      <c r="AF286" s="7">
        <v>590</v>
      </c>
      <c r="AG286" s="7" t="s">
        <v>340</v>
      </c>
      <c r="AH286" s="5">
        <v>1</v>
      </c>
      <c r="AI286" s="5">
        <v>1</v>
      </c>
      <c r="AJ286" s="9">
        <f>IF(AND(ISNUMBER(F286),ISNUMBER(G286),ISNUMBER(K286),ISNUMBER(L286)),ACOS(MIN(1,COS(RADIANS(90-F286))*COS(RADIANS(90-K286))+SIN(RADIANS(90-F286))*SIN(RADIANS(90-K286))*COS(RADIANS(G286-L286))))*6371,"N/A")</f>
        <v>344.14081823670182</v>
      </c>
      <c r="AK286" s="10">
        <f>IF(AND(ISNUMBER(F286),ISNUMBER(G286),ISNUMBER(K286),ISNUMBER(L286)),MOD(DEGREES(ATAN2(COS(RADIANS(K286))*SIN(RADIANS(F286))-SIN(RADIANS(K286))*COS(RADIANS(F286))*COS(RADIANS(G286-L286)),SIN(RADIANS(G286-L286))*COS(RADIANS(F286))))+360,360),"N/A")</f>
        <v>50.013693349875098</v>
      </c>
      <c r="AL286" s="10" t="str">
        <f>IF(AND(ISNUMBER(F286),ISNUMBER(G286),ISNUMBER(M286),ISNUMBER(N286)),ACOS(MIN(1,COS(RADIANS(90-F286))*COS(RADIANS(90-M286))+SIN(RADIANS(90-F286))*SIN(RADIANS(90-M286))*COS(RADIANS(G286-N286))))*6371,"N/A")</f>
        <v>N/A</v>
      </c>
      <c r="AM286" s="10" t="str">
        <f>IF(AND(ISNUMBER(F286),ISNUMBER(G286),ISNUMBER(M286),ISNUMBER(N286)),MOD(DEGREES(ATAN2(COS(RADIANS(M286))*SIN(RADIANS(F286))-SIN(RADIANS(M286))*COS(RADIANS(F286))*COS(RADIANS(G286-N286)),SIN(RADIANS(G286-N286))*COS(RADIANS(F286))))+360,360),"N/A")</f>
        <v>N/A</v>
      </c>
      <c r="AN286" s="2"/>
      <c r="AO286" s="2"/>
    </row>
    <row r="287" spans="1:41" x14ac:dyDescent="0.2">
      <c r="A287" s="4" t="s">
        <v>405</v>
      </c>
      <c r="B287" s="4" t="s">
        <v>1493</v>
      </c>
      <c r="C287" s="5" t="s">
        <v>340</v>
      </c>
      <c r="D287" s="4" t="s">
        <v>22</v>
      </c>
      <c r="E287" s="4" t="s">
        <v>402</v>
      </c>
      <c r="F287" s="15">
        <v>42.7715272923</v>
      </c>
      <c r="G287" s="15">
        <v>17.369540742200002</v>
      </c>
      <c r="H287" s="16" t="s">
        <v>340</v>
      </c>
      <c r="I287" s="4" t="s">
        <v>409</v>
      </c>
      <c r="J287" s="4" t="s">
        <v>15</v>
      </c>
      <c r="K287" s="6">
        <v>40.826999999999998</v>
      </c>
      <c r="L287" s="6">
        <v>14.138999999999999</v>
      </c>
      <c r="M287" s="5" t="s">
        <v>340</v>
      </c>
      <c r="N287" s="5" t="s">
        <v>340</v>
      </c>
      <c r="O287" s="4" t="s">
        <v>199</v>
      </c>
      <c r="P287" s="5">
        <v>21</v>
      </c>
      <c r="Q287" s="5" t="s">
        <v>340</v>
      </c>
      <c r="R287" s="4" t="s">
        <v>41</v>
      </c>
      <c r="S287" s="4" t="s">
        <v>403</v>
      </c>
      <c r="T287" s="7">
        <v>4483</v>
      </c>
      <c r="U287" s="7">
        <v>4540</v>
      </c>
      <c r="V287" s="7">
        <v>4627</v>
      </c>
      <c r="W287" s="15" t="s">
        <v>928</v>
      </c>
      <c r="X287" s="21" t="s">
        <v>1357</v>
      </c>
      <c r="Y287" s="7" t="s">
        <v>340</v>
      </c>
      <c r="Z287" s="7" t="s">
        <v>340</v>
      </c>
      <c r="AA287" s="7" t="s">
        <v>340</v>
      </c>
      <c r="AB287" s="7" t="s">
        <v>340</v>
      </c>
      <c r="AC287" s="7">
        <v>5390</v>
      </c>
      <c r="AD287" s="7">
        <v>270</v>
      </c>
      <c r="AE287" s="7">
        <v>4546</v>
      </c>
      <c r="AF287" s="7">
        <v>36</v>
      </c>
      <c r="AG287" s="7" t="s">
        <v>340</v>
      </c>
      <c r="AH287" s="5">
        <v>1</v>
      </c>
      <c r="AI287" s="5">
        <v>1</v>
      </c>
      <c r="AJ287" s="9">
        <f>IF(AND(ISNUMBER(F287),ISNUMBER(G287),ISNUMBER(K287),ISNUMBER(L287)),ACOS(MIN(1,COS(RADIANS(90-F287))*COS(RADIANS(90-K287))+SIN(RADIANS(90-F287))*SIN(RADIANS(90-K287))*COS(RADIANS(G287-L287))))*6371,"N/A")</f>
        <v>344.14081823670182</v>
      </c>
      <c r="AK287" s="10">
        <f>IF(AND(ISNUMBER(F287),ISNUMBER(G287),ISNUMBER(K287),ISNUMBER(L287)),MOD(DEGREES(ATAN2(COS(RADIANS(K287))*SIN(RADIANS(F287))-SIN(RADIANS(K287))*COS(RADIANS(F287))*COS(RADIANS(G287-L287)),SIN(RADIANS(G287-L287))*COS(RADIANS(F287))))+360,360),"N/A")</f>
        <v>50.013693349875098</v>
      </c>
      <c r="AL287" s="10" t="str">
        <f>IF(AND(ISNUMBER(F287),ISNUMBER(G287),ISNUMBER(M287),ISNUMBER(N287)),ACOS(MIN(1,COS(RADIANS(90-F287))*COS(RADIANS(90-M287))+SIN(RADIANS(90-F287))*SIN(RADIANS(90-M287))*COS(RADIANS(G287-N287))))*6371,"N/A")</f>
        <v>N/A</v>
      </c>
      <c r="AM287" s="10" t="str">
        <f>IF(AND(ISNUMBER(F287),ISNUMBER(G287),ISNUMBER(M287),ISNUMBER(N287)),MOD(DEGREES(ATAN2(COS(RADIANS(M287))*SIN(RADIANS(F287))-SIN(RADIANS(M287))*COS(RADIANS(F287))*COS(RADIANS(G287-N287)),SIN(RADIANS(G287-N287))*COS(RADIANS(F287))))+360,360),"N/A")</f>
        <v>N/A</v>
      </c>
      <c r="AN287" s="2"/>
      <c r="AO287" s="2"/>
    </row>
    <row r="288" spans="1:41" x14ac:dyDescent="0.2">
      <c r="A288" s="4" t="s">
        <v>408</v>
      </c>
      <c r="B288" s="4" t="s">
        <v>1493</v>
      </c>
      <c r="C288" s="5" t="s">
        <v>340</v>
      </c>
      <c r="D288" s="4" t="s">
        <v>22</v>
      </c>
      <c r="E288" s="4" t="s">
        <v>402</v>
      </c>
      <c r="F288" s="15">
        <v>42.7715272923</v>
      </c>
      <c r="G288" s="15">
        <v>17.369540742200002</v>
      </c>
      <c r="H288" s="16" t="s">
        <v>340</v>
      </c>
      <c r="I288" s="4" t="s">
        <v>409</v>
      </c>
      <c r="J288" s="4" t="s">
        <v>15</v>
      </c>
      <c r="K288" s="6">
        <v>40.826999999999998</v>
      </c>
      <c r="L288" s="6">
        <v>14.138999999999999</v>
      </c>
      <c r="M288" s="5" t="s">
        <v>340</v>
      </c>
      <c r="N288" s="5" t="s">
        <v>340</v>
      </c>
      <c r="O288" s="4" t="s">
        <v>411</v>
      </c>
      <c r="P288" s="5">
        <v>27</v>
      </c>
      <c r="Q288" s="5" t="s">
        <v>340</v>
      </c>
      <c r="R288" s="4" t="s">
        <v>41</v>
      </c>
      <c r="S288" s="4" t="s">
        <v>403</v>
      </c>
      <c r="T288" s="7">
        <v>13761</v>
      </c>
      <c r="U288" s="7">
        <v>14029</v>
      </c>
      <c r="V288" s="7">
        <v>14356</v>
      </c>
      <c r="W288" s="15" t="s">
        <v>933</v>
      </c>
      <c r="X288" s="15" t="s">
        <v>1385</v>
      </c>
      <c r="Y288" s="7" t="s">
        <v>340</v>
      </c>
      <c r="Z288" s="7" t="s">
        <v>340</v>
      </c>
      <c r="AA288" s="7" t="s">
        <v>340</v>
      </c>
      <c r="AB288" s="7" t="s">
        <v>340</v>
      </c>
      <c r="AC288" s="7">
        <v>14120</v>
      </c>
      <c r="AD288" s="7">
        <v>710</v>
      </c>
      <c r="AE288" s="7">
        <v>14037</v>
      </c>
      <c r="AF288" s="7">
        <v>156</v>
      </c>
      <c r="AG288" s="7" t="s">
        <v>340</v>
      </c>
      <c r="AH288" s="5">
        <v>1</v>
      </c>
      <c r="AI288" s="5">
        <v>1</v>
      </c>
      <c r="AJ288" s="9">
        <f>IF(AND(ISNUMBER(F288),ISNUMBER(G288),ISNUMBER(K288),ISNUMBER(L288)),ACOS(MIN(1,COS(RADIANS(90-F288))*COS(RADIANS(90-K288))+SIN(RADIANS(90-F288))*SIN(RADIANS(90-K288))*COS(RADIANS(G288-L288))))*6371,"N/A")</f>
        <v>344.14081823670182</v>
      </c>
      <c r="AK288" s="10">
        <f>IF(AND(ISNUMBER(F288),ISNUMBER(G288),ISNUMBER(K288),ISNUMBER(L288)),MOD(DEGREES(ATAN2(COS(RADIANS(K288))*SIN(RADIANS(F288))-SIN(RADIANS(K288))*COS(RADIANS(F288))*COS(RADIANS(G288-L288)),SIN(RADIANS(G288-L288))*COS(RADIANS(F288))))+360,360),"N/A")</f>
        <v>50.013693349875098</v>
      </c>
      <c r="AL288" s="10" t="str">
        <f>IF(AND(ISNUMBER(F288),ISNUMBER(G288),ISNUMBER(M288),ISNUMBER(N288)),ACOS(MIN(1,COS(RADIANS(90-F288))*COS(RADIANS(90-M288))+SIN(RADIANS(90-F288))*SIN(RADIANS(90-M288))*COS(RADIANS(G288-N288))))*6371,"N/A")</f>
        <v>N/A</v>
      </c>
      <c r="AM288" s="10" t="str">
        <f>IF(AND(ISNUMBER(F288),ISNUMBER(G288),ISNUMBER(M288),ISNUMBER(N288)),MOD(DEGREES(ATAN2(COS(RADIANS(M288))*SIN(RADIANS(F288))-SIN(RADIANS(M288))*COS(RADIANS(F288))*COS(RADIANS(G288-N288)),SIN(RADIANS(G288-N288))*COS(RADIANS(F288))))+360,360),"N/A")</f>
        <v>N/A</v>
      </c>
      <c r="AN288" s="2"/>
      <c r="AO288" s="2"/>
    </row>
    <row r="289" spans="1:41" x14ac:dyDescent="0.2">
      <c r="A289" s="4" t="s">
        <v>404</v>
      </c>
      <c r="B289" s="4" t="s">
        <v>1493</v>
      </c>
      <c r="C289" s="5" t="s">
        <v>340</v>
      </c>
      <c r="D289" s="4" t="s">
        <v>22</v>
      </c>
      <c r="E289" s="4" t="s">
        <v>402</v>
      </c>
      <c r="F289" s="15">
        <v>42.7715272923</v>
      </c>
      <c r="G289" s="15">
        <v>17.369540742200002</v>
      </c>
      <c r="H289" s="16" t="s">
        <v>340</v>
      </c>
      <c r="I289" s="4" t="s">
        <v>409</v>
      </c>
      <c r="J289" s="4" t="s">
        <v>16</v>
      </c>
      <c r="K289" s="6">
        <v>40.820999999999998</v>
      </c>
      <c r="L289" s="6">
        <v>14.426</v>
      </c>
      <c r="M289" s="5" t="s">
        <v>340</v>
      </c>
      <c r="N289" s="5" t="s">
        <v>340</v>
      </c>
      <c r="O289" s="4" t="s">
        <v>38</v>
      </c>
      <c r="P289" s="5">
        <v>16</v>
      </c>
      <c r="Q289" s="5" t="s">
        <v>340</v>
      </c>
      <c r="R289" s="4" t="s">
        <v>41</v>
      </c>
      <c r="S289" s="4" t="s">
        <v>403</v>
      </c>
      <c r="T289" s="7" t="s">
        <v>920</v>
      </c>
      <c r="U289" s="7">
        <v>3839</v>
      </c>
      <c r="V289" s="7" t="s">
        <v>921</v>
      </c>
      <c r="W289" s="15" t="s">
        <v>922</v>
      </c>
      <c r="X289" s="21" t="s">
        <v>919</v>
      </c>
      <c r="Y289" s="7" t="s">
        <v>340</v>
      </c>
      <c r="Z289" s="7" t="s">
        <v>340</v>
      </c>
      <c r="AA289" s="7" t="s">
        <v>340</v>
      </c>
      <c r="AB289" s="7" t="s">
        <v>340</v>
      </c>
      <c r="AC289" s="7">
        <v>4310</v>
      </c>
      <c r="AD289" s="7">
        <v>220</v>
      </c>
      <c r="AE289" s="7">
        <v>3839</v>
      </c>
      <c r="AF289" s="7">
        <v>21</v>
      </c>
      <c r="AG289" s="7" t="s">
        <v>340</v>
      </c>
      <c r="AH289" s="5">
        <v>1</v>
      </c>
      <c r="AI289" s="5">
        <v>1</v>
      </c>
      <c r="AJ289" s="9">
        <f>IF(AND(ISNUMBER(F289),ISNUMBER(G289),ISNUMBER(K289),ISNUMBER(L289)),ACOS(MIN(1,COS(RADIANS(90-F289))*COS(RADIANS(90-K289))+SIN(RADIANS(90-F289))*SIN(RADIANS(90-K289))*COS(RADIANS(G289-L289))))*6371,"N/A")</f>
        <v>326.43222699453025</v>
      </c>
      <c r="AK289" s="10">
        <f>IF(AND(ISNUMBER(F289),ISNUMBER(G289),ISNUMBER(K289),ISNUMBER(L289)),MOD(DEGREES(ATAN2(COS(RADIANS(K289))*SIN(RADIANS(F289))-SIN(RADIANS(K289))*COS(RADIANS(F289))*COS(RADIANS(G289-L289)),SIN(RADIANS(G289-L289))*COS(RADIANS(F289))))+360,360),"N/A")</f>
        <v>47.394523493965266</v>
      </c>
      <c r="AL289" s="10" t="str">
        <f>IF(AND(ISNUMBER(F289),ISNUMBER(G289),ISNUMBER(M289),ISNUMBER(N289)),ACOS(MIN(1,COS(RADIANS(90-F289))*COS(RADIANS(90-M289))+SIN(RADIANS(90-F289))*SIN(RADIANS(90-M289))*COS(RADIANS(G289-N289))))*6371,"N/A")</f>
        <v>N/A</v>
      </c>
      <c r="AM289" s="10" t="str">
        <f>IF(AND(ISNUMBER(F289),ISNUMBER(G289),ISNUMBER(M289),ISNUMBER(N289)),MOD(DEGREES(ATAN2(COS(RADIANS(M289))*SIN(RADIANS(F289))-SIN(RADIANS(M289))*COS(RADIANS(F289))*COS(RADIANS(G289-N289)),SIN(RADIANS(G289-N289))*COS(RADIANS(F289))))+360,360),"N/A")</f>
        <v>N/A</v>
      </c>
      <c r="AN289" s="2"/>
      <c r="AO289" s="2"/>
    </row>
    <row r="290" spans="1:41" x14ac:dyDescent="0.2">
      <c r="A290" s="4" t="s">
        <v>407</v>
      </c>
      <c r="B290" s="4" t="s">
        <v>1493</v>
      </c>
      <c r="C290" s="5" t="s">
        <v>340</v>
      </c>
      <c r="D290" s="4" t="s">
        <v>22</v>
      </c>
      <c r="E290" s="4" t="s">
        <v>402</v>
      </c>
      <c r="F290" s="15">
        <v>42.7715272923</v>
      </c>
      <c r="G290" s="15">
        <v>17.369540742200002</v>
      </c>
      <c r="H290" s="16" t="s">
        <v>340</v>
      </c>
      <c r="I290" s="4" t="s">
        <v>1221</v>
      </c>
      <c r="J290" s="4" t="s">
        <v>16</v>
      </c>
      <c r="K290" s="6">
        <v>40.820999999999998</v>
      </c>
      <c r="L290" s="6">
        <v>14.426</v>
      </c>
      <c r="M290" s="5" t="s">
        <v>340</v>
      </c>
      <c r="N290" s="5" t="s">
        <v>340</v>
      </c>
      <c r="O290" s="4" t="s">
        <v>410</v>
      </c>
      <c r="P290" s="5">
        <v>20</v>
      </c>
      <c r="Q290" s="5" t="s">
        <v>340</v>
      </c>
      <c r="R290" s="4" t="s">
        <v>41</v>
      </c>
      <c r="S290" s="4" t="s">
        <v>403</v>
      </c>
      <c r="T290" s="12">
        <v>8723</v>
      </c>
      <c r="U290" s="7">
        <v>8866</v>
      </c>
      <c r="V290" s="12">
        <v>9009</v>
      </c>
      <c r="W290" s="15" t="s">
        <v>1350</v>
      </c>
      <c r="X290" s="21" t="s">
        <v>1386</v>
      </c>
      <c r="Y290" s="7">
        <v>8010</v>
      </c>
      <c r="Z290" s="7">
        <v>35</v>
      </c>
      <c r="AA290" s="7" t="s">
        <v>340</v>
      </c>
      <c r="AB290" s="7" t="s">
        <v>340</v>
      </c>
      <c r="AC290" s="7">
        <v>9680</v>
      </c>
      <c r="AD290" s="7">
        <v>480</v>
      </c>
      <c r="AE290" s="7">
        <v>8570</v>
      </c>
      <c r="AF290" s="7">
        <v>270</v>
      </c>
      <c r="AG290" s="7" t="s">
        <v>340</v>
      </c>
      <c r="AH290" s="5">
        <v>1</v>
      </c>
      <c r="AI290" s="5">
        <v>1</v>
      </c>
      <c r="AJ290" s="9">
        <f>IF(AND(ISNUMBER(F290),ISNUMBER(G290),ISNUMBER(K290),ISNUMBER(L290)),ACOS(MIN(1,COS(RADIANS(90-F290))*COS(RADIANS(90-K290))+SIN(RADIANS(90-F290))*SIN(RADIANS(90-K290))*COS(RADIANS(G290-L290))))*6371,"N/A")</f>
        <v>326.43222699453025</v>
      </c>
      <c r="AK290" s="10">
        <f>IF(AND(ISNUMBER(F290),ISNUMBER(G290),ISNUMBER(K290),ISNUMBER(L290)),MOD(DEGREES(ATAN2(COS(RADIANS(K290))*SIN(RADIANS(F290))-SIN(RADIANS(K290))*COS(RADIANS(F290))*COS(RADIANS(G290-L290)),SIN(RADIANS(G290-L290))*COS(RADIANS(F290))))+360,360),"N/A")</f>
        <v>47.394523493965266</v>
      </c>
      <c r="AL290" s="10" t="str">
        <f>IF(AND(ISNUMBER(F290),ISNUMBER(G290),ISNUMBER(M290),ISNUMBER(N290)),ACOS(MIN(1,COS(RADIANS(90-F290))*COS(RADIANS(90-M290))+SIN(RADIANS(90-F290))*SIN(RADIANS(90-M290))*COS(RADIANS(G290-N290))))*6371,"N/A")</f>
        <v>N/A</v>
      </c>
      <c r="AM290" s="10" t="str">
        <f>IF(AND(ISNUMBER(F290),ISNUMBER(G290),ISNUMBER(M290),ISNUMBER(N290)),MOD(DEGREES(ATAN2(COS(RADIANS(M290))*SIN(RADIANS(F290))-SIN(RADIANS(M290))*COS(RADIANS(F290))*COS(RADIANS(G290-N290)),SIN(RADIANS(G290-N290))*COS(RADIANS(F290))))+360,360),"N/A")</f>
        <v>N/A</v>
      </c>
      <c r="AN290" s="2"/>
      <c r="AO290" s="2"/>
    </row>
    <row r="291" spans="1:41" x14ac:dyDescent="0.2">
      <c r="A291" s="4" t="s">
        <v>672</v>
      </c>
      <c r="B291" s="4" t="s">
        <v>669</v>
      </c>
      <c r="C291" s="5" t="s">
        <v>340</v>
      </c>
      <c r="D291" s="4" t="s">
        <v>70</v>
      </c>
      <c r="E291" s="4" t="s">
        <v>71</v>
      </c>
      <c r="F291" s="15">
        <v>43.4998</v>
      </c>
      <c r="G291" s="15">
        <v>15.4498</v>
      </c>
      <c r="H291" s="16">
        <v>-212.5</v>
      </c>
      <c r="I291" s="4" t="s">
        <v>670</v>
      </c>
      <c r="J291" s="4" t="s">
        <v>15</v>
      </c>
      <c r="K291" s="6">
        <v>40.826999999999998</v>
      </c>
      <c r="L291" s="6">
        <v>14.138999999999999</v>
      </c>
      <c r="M291" s="5" t="s">
        <v>340</v>
      </c>
      <c r="N291" s="5" t="s">
        <v>340</v>
      </c>
      <c r="O291" s="4" t="s">
        <v>20</v>
      </c>
      <c r="P291" s="5">
        <v>17</v>
      </c>
      <c r="Q291" s="5" t="s">
        <v>340</v>
      </c>
      <c r="R291" s="4" t="s">
        <v>698</v>
      </c>
      <c r="S291" s="4" t="s">
        <v>1121</v>
      </c>
      <c r="T291" s="7">
        <v>13761</v>
      </c>
      <c r="U291" s="7">
        <v>14029</v>
      </c>
      <c r="V291" s="7">
        <v>14356</v>
      </c>
      <c r="W291" s="15" t="s">
        <v>933</v>
      </c>
      <c r="X291" s="15" t="s">
        <v>1358</v>
      </c>
      <c r="Y291" s="7" t="s">
        <v>340</v>
      </c>
      <c r="Z291" s="7" t="s">
        <v>340</v>
      </c>
      <c r="AA291" s="7" t="s">
        <v>340</v>
      </c>
      <c r="AB291" s="7" t="s">
        <v>340</v>
      </c>
      <c r="AC291" s="7">
        <v>14120</v>
      </c>
      <c r="AD291" s="7">
        <v>710</v>
      </c>
      <c r="AE291" s="7">
        <v>14037</v>
      </c>
      <c r="AF291" s="7">
        <v>156</v>
      </c>
      <c r="AG291" s="7" t="s">
        <v>340</v>
      </c>
      <c r="AH291" s="5">
        <v>1</v>
      </c>
      <c r="AI291" s="5">
        <v>1</v>
      </c>
      <c r="AJ291" s="9">
        <f>IF(AND(ISNUMBER(F291),ISNUMBER(G291),ISNUMBER(K291),ISNUMBER(L291)),ACOS(MIN(1,COS(RADIANS(90-F291))*COS(RADIANS(90-K291))+SIN(RADIANS(90-F291))*SIN(RADIANS(90-K291))*COS(RADIANS(G291-L291))))*6371,"N/A")</f>
        <v>316.21758458038079</v>
      </c>
      <c r="AK291" s="10">
        <f>IF(AND(ISNUMBER(F291),ISNUMBER(G291),ISNUMBER(K291),ISNUMBER(L291)),MOD(DEGREES(ATAN2(COS(RADIANS(K291))*SIN(RADIANS(F291))-SIN(RADIANS(K291))*COS(RADIANS(F291))*COS(RADIANS(G291-L291)),SIN(RADIANS(G291-L291))*COS(RADIANS(F291))))+360,360),"N/A")</f>
        <v>19.539483834227781</v>
      </c>
      <c r="AL291" s="10" t="str">
        <f>IF(AND(ISNUMBER(F291),ISNUMBER(G291),ISNUMBER(M291),ISNUMBER(N291)),ACOS(MIN(1,COS(RADIANS(90-F291))*COS(RADIANS(90-M291))+SIN(RADIANS(90-F291))*SIN(RADIANS(90-M291))*COS(RADIANS(G291-N291))))*6371,"N/A")</f>
        <v>N/A</v>
      </c>
      <c r="AM291" s="10" t="str">
        <f>IF(AND(ISNUMBER(F291),ISNUMBER(G291),ISNUMBER(M291),ISNUMBER(N291)),MOD(DEGREES(ATAN2(COS(RADIANS(M291))*SIN(RADIANS(F291))-SIN(RADIANS(M291))*COS(RADIANS(F291))*COS(RADIANS(G291-N291)),SIN(RADIANS(G291-N291))*COS(RADIANS(F291))))+360,360),"N/A")</f>
        <v>N/A</v>
      </c>
      <c r="AN291" s="2"/>
      <c r="AO291" s="2"/>
    </row>
    <row r="292" spans="1:41" x14ac:dyDescent="0.2">
      <c r="A292" s="4" t="s">
        <v>671</v>
      </c>
      <c r="B292" s="4" t="s">
        <v>669</v>
      </c>
      <c r="C292" s="5" t="s">
        <v>340</v>
      </c>
      <c r="D292" s="4" t="s">
        <v>70</v>
      </c>
      <c r="E292" s="4" t="s">
        <v>71</v>
      </c>
      <c r="F292" s="15">
        <v>43.4998</v>
      </c>
      <c r="G292" s="15">
        <v>15.4498</v>
      </c>
      <c r="H292" s="16">
        <v>-212.5</v>
      </c>
      <c r="I292" s="4" t="s">
        <v>670</v>
      </c>
      <c r="J292" s="4" t="s">
        <v>16</v>
      </c>
      <c r="K292" s="6">
        <v>40.820999999999998</v>
      </c>
      <c r="L292" s="6">
        <v>14.426</v>
      </c>
      <c r="M292" s="5" t="s">
        <v>340</v>
      </c>
      <c r="N292" s="5" t="s">
        <v>340</v>
      </c>
      <c r="O292" s="4" t="s">
        <v>229</v>
      </c>
      <c r="P292" s="5">
        <v>16</v>
      </c>
      <c r="Q292" s="5" t="s">
        <v>340</v>
      </c>
      <c r="R292" s="4" t="s">
        <v>698</v>
      </c>
      <c r="S292" s="4" t="s">
        <v>1121</v>
      </c>
      <c r="T292" s="12">
        <v>8723</v>
      </c>
      <c r="U292" s="7">
        <v>8866</v>
      </c>
      <c r="V292" s="12">
        <v>9009</v>
      </c>
      <c r="W292" s="15" t="s">
        <v>1091</v>
      </c>
      <c r="X292" s="21" t="s">
        <v>1360</v>
      </c>
      <c r="Y292" s="7">
        <v>8010</v>
      </c>
      <c r="Z292" s="7">
        <v>35</v>
      </c>
      <c r="AA292" s="7" t="s">
        <v>340</v>
      </c>
      <c r="AB292" s="7" t="s">
        <v>340</v>
      </c>
      <c r="AC292" s="7">
        <v>9680</v>
      </c>
      <c r="AD292" s="7">
        <v>480</v>
      </c>
      <c r="AE292" s="7" t="s">
        <v>340</v>
      </c>
      <c r="AF292" s="7" t="s">
        <v>340</v>
      </c>
      <c r="AG292" s="7" t="s">
        <v>340</v>
      </c>
      <c r="AH292" s="5">
        <v>1</v>
      </c>
      <c r="AI292" s="5">
        <v>1</v>
      </c>
      <c r="AJ292" s="9">
        <f>IF(AND(ISNUMBER(F292),ISNUMBER(G292),ISNUMBER(K292),ISNUMBER(L292)),ACOS(MIN(1,COS(RADIANS(90-F292))*COS(RADIANS(90-K292))+SIN(RADIANS(90-F292))*SIN(RADIANS(90-K292))*COS(RADIANS(G292-L292))))*6371,"N/A")</f>
        <v>309.58443341500845</v>
      </c>
      <c r="AK292" s="10">
        <f>IF(AND(ISNUMBER(F292),ISNUMBER(G292),ISNUMBER(K292),ISNUMBER(L292)),MOD(DEGREES(ATAN2(COS(RADIANS(K292))*SIN(RADIANS(F292))-SIN(RADIANS(K292))*COS(RADIANS(F292))*COS(RADIANS(G292-L292)),SIN(RADIANS(G292-L292))*COS(RADIANS(F292))))+360,360),"N/A")</f>
        <v>15.475639288292143</v>
      </c>
      <c r="AL292" s="10" t="str">
        <f>IF(AND(ISNUMBER(F292),ISNUMBER(G292),ISNUMBER(M292),ISNUMBER(N292)),ACOS(MIN(1,COS(RADIANS(90-F292))*COS(RADIANS(90-M292))+SIN(RADIANS(90-F292))*SIN(RADIANS(90-M292))*COS(RADIANS(G292-N292))))*6371,"N/A")</f>
        <v>N/A</v>
      </c>
      <c r="AM292" s="10" t="str">
        <f>IF(AND(ISNUMBER(F292),ISNUMBER(G292),ISNUMBER(M292),ISNUMBER(N292)),MOD(DEGREES(ATAN2(COS(RADIANS(M292))*SIN(RADIANS(F292))-SIN(RADIANS(M292))*COS(RADIANS(F292))*COS(RADIANS(G292-N292)),SIN(RADIANS(G292-N292))*COS(RADIANS(F292))))+360,360),"N/A")</f>
        <v>N/A</v>
      </c>
      <c r="AN292" s="2"/>
      <c r="AO292" s="2"/>
    </row>
    <row r="293" spans="1:41" x14ac:dyDescent="0.2">
      <c r="A293" s="4" t="s">
        <v>598</v>
      </c>
      <c r="B293" s="4" t="s">
        <v>596</v>
      </c>
      <c r="C293" s="5" t="s">
        <v>340</v>
      </c>
      <c r="D293" s="4" t="s">
        <v>70</v>
      </c>
      <c r="E293" s="4" t="s">
        <v>595</v>
      </c>
      <c r="F293" s="15">
        <v>40.442833</v>
      </c>
      <c r="G293" s="15">
        <v>29.539166999999999</v>
      </c>
      <c r="H293" s="16">
        <v>85</v>
      </c>
      <c r="I293" s="4" t="s">
        <v>412</v>
      </c>
      <c r="J293" s="4" t="s">
        <v>241</v>
      </c>
      <c r="K293" s="6">
        <v>36.404000000000003</v>
      </c>
      <c r="L293" s="6">
        <v>25.396000000000001</v>
      </c>
      <c r="M293" s="5" t="s">
        <v>340</v>
      </c>
      <c r="N293" s="5" t="s">
        <v>340</v>
      </c>
      <c r="O293" s="4" t="s">
        <v>246</v>
      </c>
      <c r="P293" s="5">
        <v>23</v>
      </c>
      <c r="Q293" s="5" t="s">
        <v>340</v>
      </c>
      <c r="R293" s="4" t="s">
        <v>41</v>
      </c>
      <c r="S293" s="4" t="s">
        <v>1121</v>
      </c>
      <c r="T293" s="7">
        <v>21353</v>
      </c>
      <c r="U293" s="7">
        <v>22170</v>
      </c>
      <c r="V293" s="7">
        <v>22575</v>
      </c>
      <c r="W293" s="15" t="s">
        <v>933</v>
      </c>
      <c r="X293" s="15" t="s">
        <v>1358</v>
      </c>
      <c r="Y293" s="7" t="s">
        <v>340</v>
      </c>
      <c r="Z293" s="7" t="s">
        <v>340</v>
      </c>
      <c r="AA293" s="7" t="s">
        <v>340</v>
      </c>
      <c r="AB293" s="7" t="s">
        <v>340</v>
      </c>
      <c r="AC293" s="7" t="s">
        <v>340</v>
      </c>
      <c r="AD293" s="7" t="s">
        <v>340</v>
      </c>
      <c r="AE293" s="7">
        <v>22101</v>
      </c>
      <c r="AF293" s="7">
        <v>308</v>
      </c>
      <c r="AG293" s="7" t="s">
        <v>340</v>
      </c>
      <c r="AH293" s="5">
        <v>1</v>
      </c>
      <c r="AI293" s="5">
        <v>1</v>
      </c>
      <c r="AJ293" s="9">
        <f>IF(AND(ISNUMBER(F293),ISNUMBER(G293),ISNUMBER(K293),ISNUMBER(L293)),ACOS(MIN(1,COS(RADIANS(90-F293))*COS(RADIANS(90-K293))+SIN(RADIANS(90-F293))*SIN(RADIANS(90-K293))*COS(RADIANS(G293-L293))))*6371,"N/A")</f>
        <v>576.00472049326629</v>
      </c>
      <c r="AK293" s="10">
        <f>IF(AND(ISNUMBER(F293),ISNUMBER(G293),ISNUMBER(K293),ISNUMBER(L293)),MOD(DEGREES(ATAN2(COS(RADIANS(K293))*SIN(RADIANS(F293))-SIN(RADIANS(K293))*COS(RADIANS(F293))*COS(RADIANS(G293-L293)),SIN(RADIANS(G293-L293))*COS(RADIANS(F293))))+360,360),"N/A")</f>
        <v>37.517491919649331</v>
      </c>
      <c r="AL293" s="10" t="str">
        <f>IF(AND(ISNUMBER(F293),ISNUMBER(G293),ISNUMBER(M293),ISNUMBER(N293)),ACOS(MIN(1,COS(RADIANS(90-F293))*COS(RADIANS(90-M293))+SIN(RADIANS(90-F293))*SIN(RADIANS(90-M293))*COS(RADIANS(G293-N293))))*6371,"N/A")</f>
        <v>N/A</v>
      </c>
      <c r="AM293" s="10" t="str">
        <f>IF(AND(ISNUMBER(F293),ISNUMBER(G293),ISNUMBER(M293),ISNUMBER(N293)),MOD(DEGREES(ATAN2(COS(RADIANS(M293))*SIN(RADIANS(F293))-SIN(RADIANS(M293))*COS(RADIANS(F293))*COS(RADIANS(G293-N293)),SIN(RADIANS(G293-N293))*COS(RADIANS(F293))))+360,360),"N/A")</f>
        <v>N/A</v>
      </c>
      <c r="AN293" s="2"/>
      <c r="AO293" s="2"/>
    </row>
    <row r="294" spans="1:41" x14ac:dyDescent="0.2">
      <c r="A294" s="4" t="s">
        <v>599</v>
      </c>
      <c r="B294" s="4" t="s">
        <v>596</v>
      </c>
      <c r="C294" s="5" t="s">
        <v>340</v>
      </c>
      <c r="D294" s="4" t="s">
        <v>70</v>
      </c>
      <c r="E294" s="4" t="s">
        <v>595</v>
      </c>
      <c r="F294" s="15">
        <v>40.442833</v>
      </c>
      <c r="G294" s="15">
        <v>29.539166999999999</v>
      </c>
      <c r="H294" s="16">
        <v>85</v>
      </c>
      <c r="I294" s="4" t="s">
        <v>412</v>
      </c>
      <c r="J294" s="4" t="s">
        <v>16</v>
      </c>
      <c r="K294" s="6">
        <v>40.820999999999998</v>
      </c>
      <c r="L294" s="6">
        <v>14.426</v>
      </c>
      <c r="M294" s="5" t="s">
        <v>340</v>
      </c>
      <c r="N294" s="5" t="s">
        <v>340</v>
      </c>
      <c r="O294" s="4" t="s">
        <v>296</v>
      </c>
      <c r="P294" s="5">
        <v>11</v>
      </c>
      <c r="Q294" s="5" t="s">
        <v>340</v>
      </c>
      <c r="R294" s="4" t="s">
        <v>41</v>
      </c>
      <c r="S294" s="4" t="s">
        <v>1121</v>
      </c>
      <c r="T294" s="7">
        <v>3500</v>
      </c>
      <c r="U294" s="7">
        <v>3600</v>
      </c>
      <c r="V294" s="7">
        <v>3700</v>
      </c>
      <c r="W294" s="15" t="s">
        <v>1094</v>
      </c>
      <c r="X294" s="15" t="s">
        <v>1051</v>
      </c>
      <c r="Y294" s="7">
        <v>3225</v>
      </c>
      <c r="Z294" s="7">
        <v>140</v>
      </c>
      <c r="AA294" s="7" t="s">
        <v>340</v>
      </c>
      <c r="AB294" s="7" t="s">
        <v>340</v>
      </c>
      <c r="AC294" s="7">
        <v>4150</v>
      </c>
      <c r="AD294" s="7">
        <v>220</v>
      </c>
      <c r="AE294" s="7">
        <v>3414</v>
      </c>
      <c r="AF294" s="7" t="s">
        <v>939</v>
      </c>
      <c r="AG294" s="7" t="s">
        <v>340</v>
      </c>
      <c r="AH294" s="5">
        <v>1</v>
      </c>
      <c r="AI294" s="5">
        <v>1</v>
      </c>
      <c r="AJ294" s="9">
        <f>IF(AND(ISNUMBER(F294),ISNUMBER(G294),ISNUMBER(K294),ISNUMBER(L294)),ACOS(MIN(1,COS(RADIANS(90-F294))*COS(RADIANS(90-K294))+SIN(RADIANS(90-F294))*SIN(RADIANS(90-K294))*COS(RADIANS(G294-L294))))*6371,"N/A")</f>
        <v>1274.4645986830963</v>
      </c>
      <c r="AK294" s="10">
        <f>IF(AND(ISNUMBER(F294),ISNUMBER(G294),ISNUMBER(K294),ISNUMBER(L294)),MOD(DEGREES(ATAN2(COS(RADIANS(K294))*SIN(RADIANS(F294))-SIN(RADIANS(K294))*COS(RADIANS(F294))*COS(RADIANS(G294-L294)),SIN(RADIANS(G294-L294))*COS(RADIANS(F294))))+360,360),"N/A")</f>
        <v>86.94015996195958</v>
      </c>
      <c r="AL294" s="10" t="str">
        <f>IF(AND(ISNUMBER(F294),ISNUMBER(G294),ISNUMBER(M294),ISNUMBER(N294)),ACOS(MIN(1,COS(RADIANS(90-F294))*COS(RADIANS(90-M294))+SIN(RADIANS(90-F294))*SIN(RADIANS(90-M294))*COS(RADIANS(G294-N294))))*6371,"N/A")</f>
        <v>N/A</v>
      </c>
      <c r="AM294" s="10" t="str">
        <f>IF(AND(ISNUMBER(F294),ISNUMBER(G294),ISNUMBER(M294),ISNUMBER(N294)),MOD(DEGREES(ATAN2(COS(RADIANS(M294))*SIN(RADIANS(F294))-SIN(RADIANS(M294))*COS(RADIANS(F294))*COS(RADIANS(G294-N294)),SIN(RADIANS(G294-N294))*COS(RADIANS(F294))))+360,360),"N/A")</f>
        <v>N/A</v>
      </c>
      <c r="AN294" s="2"/>
      <c r="AO294" s="2"/>
    </row>
    <row r="295" spans="1:41" x14ac:dyDescent="0.2">
      <c r="A295" s="4" t="s">
        <v>570</v>
      </c>
      <c r="B295" s="4" t="s">
        <v>44</v>
      </c>
      <c r="C295" s="5">
        <v>601</v>
      </c>
      <c r="D295" s="4" t="s">
        <v>32</v>
      </c>
      <c r="E295" s="4" t="s">
        <v>45</v>
      </c>
      <c r="F295" s="15">
        <v>37.5152</v>
      </c>
      <c r="G295" s="15">
        <v>14.306699999999999</v>
      </c>
      <c r="H295" s="16">
        <v>667</v>
      </c>
      <c r="I295" s="4" t="s">
        <v>843</v>
      </c>
      <c r="J295" s="4" t="s">
        <v>42</v>
      </c>
      <c r="K295" s="6">
        <v>37.747999999999998</v>
      </c>
      <c r="L295" s="6">
        <v>14.999000000000001</v>
      </c>
      <c r="M295" s="5" t="s">
        <v>340</v>
      </c>
      <c r="N295" s="5" t="s">
        <v>340</v>
      </c>
      <c r="O295" s="4" t="s">
        <v>424</v>
      </c>
      <c r="P295" s="5">
        <v>25</v>
      </c>
      <c r="Q295" s="5">
        <v>9999</v>
      </c>
      <c r="R295" s="4" t="s">
        <v>698</v>
      </c>
      <c r="S295" s="4" t="s">
        <v>1121</v>
      </c>
      <c r="T295" s="7">
        <v>3213</v>
      </c>
      <c r="U295" s="7">
        <v>3368</v>
      </c>
      <c r="V295" s="7">
        <v>3481</v>
      </c>
      <c r="W295" s="15" t="s">
        <v>909</v>
      </c>
      <c r="X295" s="15" t="s">
        <v>1367</v>
      </c>
      <c r="Y295" s="7">
        <v>3150</v>
      </c>
      <c r="Z295" s="7">
        <v>60</v>
      </c>
      <c r="AA295" s="7" t="s">
        <v>340</v>
      </c>
      <c r="AB295" s="7" t="s">
        <v>340</v>
      </c>
      <c r="AC295" s="7" t="s">
        <v>340</v>
      </c>
      <c r="AD295" s="7" t="s">
        <v>340</v>
      </c>
      <c r="AE295" s="7" t="s">
        <v>340</v>
      </c>
      <c r="AF295" s="7" t="s">
        <v>340</v>
      </c>
      <c r="AG295" s="7" t="s">
        <v>340</v>
      </c>
      <c r="AH295" s="5">
        <v>1</v>
      </c>
      <c r="AI295" s="5">
        <v>1</v>
      </c>
      <c r="AJ295" s="9">
        <f>IF(AND(ISNUMBER(F295),ISNUMBER(G295),ISNUMBER(K295),ISNUMBER(L295)),ACOS(MIN(1,COS(RADIANS(90-F295))*COS(RADIANS(90-K295))+SIN(RADIANS(90-F295))*SIN(RADIANS(90-K295))*COS(RADIANS(G295-L295))))*6371,"N/A")</f>
        <v>66.232639891151791</v>
      </c>
      <c r="AK295" s="10">
        <f>IF(AND(ISNUMBER(F295),ISNUMBER(G295),ISNUMBER(K295),ISNUMBER(L295)),MOD(DEGREES(ATAN2(COS(RADIANS(K295))*SIN(RADIANS(F295))-SIN(RADIANS(K295))*COS(RADIANS(F295))*COS(RADIANS(G295-L295)),SIN(RADIANS(G295-L295))*COS(RADIANS(F295))))+360,360),"N/A")</f>
        <v>247.20510428725729</v>
      </c>
      <c r="AL295" s="10" t="str">
        <f>IF(AND(ISNUMBER(F295),ISNUMBER(G295),ISNUMBER(M295),ISNUMBER(N295)),ACOS(MIN(1,COS(RADIANS(90-F295))*COS(RADIANS(90-M295))+SIN(RADIANS(90-F295))*SIN(RADIANS(90-M295))*COS(RADIANS(G295-N295))))*6371,"N/A")</f>
        <v>N/A</v>
      </c>
      <c r="AM295" s="10" t="str">
        <f>IF(AND(ISNUMBER(F295),ISNUMBER(G295),ISNUMBER(M295),ISNUMBER(N295)),MOD(DEGREES(ATAN2(COS(RADIANS(M295))*SIN(RADIANS(F295))-SIN(RADIANS(M295))*COS(RADIANS(F295))*COS(RADIANS(G295-N295)),SIN(RADIANS(G295-N295))*COS(RADIANS(F295))))+360,360),"N/A")</f>
        <v>N/A</v>
      </c>
      <c r="AN295" s="2"/>
      <c r="AO295" s="2"/>
    </row>
    <row r="296" spans="1:41" x14ac:dyDescent="0.2">
      <c r="A296" s="4" t="s">
        <v>1017</v>
      </c>
      <c r="B296" s="4" t="s">
        <v>179</v>
      </c>
      <c r="C296" s="5" t="s">
        <v>340</v>
      </c>
      <c r="D296" s="4" t="s">
        <v>29</v>
      </c>
      <c r="E296" s="4" t="s">
        <v>105</v>
      </c>
      <c r="F296" s="15">
        <v>35.666699999999999</v>
      </c>
      <c r="G296" s="15">
        <v>26.583300000000001</v>
      </c>
      <c r="H296" s="16" t="s">
        <v>340</v>
      </c>
      <c r="I296" s="4" t="s">
        <v>578</v>
      </c>
      <c r="J296" s="4" t="s">
        <v>241</v>
      </c>
      <c r="K296" s="6">
        <v>36.404000000000003</v>
      </c>
      <c r="L296" s="6">
        <v>25.396000000000001</v>
      </c>
      <c r="M296" s="5" t="s">
        <v>340</v>
      </c>
      <c r="N296" s="5" t="s">
        <v>340</v>
      </c>
      <c r="O296" s="4" t="s">
        <v>14</v>
      </c>
      <c r="P296" s="5">
        <v>34</v>
      </c>
      <c r="Q296" s="5" t="s">
        <v>1039</v>
      </c>
      <c r="R296" s="4" t="s">
        <v>184</v>
      </c>
      <c r="S296" s="4" t="s">
        <v>1121</v>
      </c>
      <c r="T296" s="7">
        <v>11669</v>
      </c>
      <c r="U296" s="7">
        <f>AVERAGE(V296,T296)</f>
        <v>12079</v>
      </c>
      <c r="V296" s="7">
        <v>12489</v>
      </c>
      <c r="W296" s="15" t="s">
        <v>900</v>
      </c>
      <c r="X296" s="15" t="s">
        <v>577</v>
      </c>
      <c r="Y296" s="7" t="s">
        <v>340</v>
      </c>
      <c r="Z296" s="7" t="s">
        <v>340</v>
      </c>
      <c r="AA296" s="7" t="s">
        <v>340</v>
      </c>
      <c r="AB296" s="7" t="s">
        <v>340</v>
      </c>
      <c r="AC296" s="7" t="s">
        <v>340</v>
      </c>
      <c r="AD296" s="7" t="s">
        <v>340</v>
      </c>
      <c r="AE296" s="7" t="s">
        <v>1020</v>
      </c>
      <c r="AF296" s="7" t="s">
        <v>1021</v>
      </c>
      <c r="AG296" s="7" t="s">
        <v>340</v>
      </c>
      <c r="AH296" s="5">
        <v>1</v>
      </c>
      <c r="AI296" s="5">
        <v>1</v>
      </c>
      <c r="AJ296" s="9">
        <f>IF(AND(ISNUMBER(F296),ISNUMBER(G296),ISNUMBER(K296),ISNUMBER(L296)),ACOS(MIN(1,COS(RADIANS(90-F296))*COS(RADIANS(90-K296))+SIN(RADIANS(90-F296))*SIN(RADIANS(90-K296))*COS(RADIANS(G296-L296))))*6371,"N/A")</f>
        <v>134.60502986478218</v>
      </c>
      <c r="AK296" s="10">
        <f>IF(AND(ISNUMBER(F296),ISNUMBER(G296),ISNUMBER(K296),ISNUMBER(L296)),MOD(DEGREES(ATAN2(COS(RADIANS(K296))*SIN(RADIANS(F296))-SIN(RADIANS(K296))*COS(RADIANS(F296))*COS(RADIANS(G296-L296)),SIN(RADIANS(G296-L296))*COS(RADIANS(F296))))+360,360),"N/A")</f>
        <v>127.17126275313325</v>
      </c>
      <c r="AL296" s="10" t="str">
        <f>IF(AND(ISNUMBER(F296),ISNUMBER(G296),ISNUMBER(M296),ISNUMBER(N296)),ACOS(MIN(1,COS(RADIANS(90-F296))*COS(RADIANS(90-M296))+SIN(RADIANS(90-F296))*SIN(RADIANS(90-M296))*COS(RADIANS(G296-N296))))*6371,"N/A")</f>
        <v>N/A</v>
      </c>
      <c r="AM296" s="10" t="str">
        <f>IF(AND(ISNUMBER(F296),ISNUMBER(G296),ISNUMBER(M296),ISNUMBER(N296)),MOD(DEGREES(ATAN2(COS(RADIANS(M296))*SIN(RADIANS(F296))-SIN(RADIANS(M296))*COS(RADIANS(F296))*COS(RADIANS(G296-N296)),SIN(RADIANS(G296-N296))*COS(RADIANS(F296))))+360,360),"N/A")</f>
        <v>N/A</v>
      </c>
      <c r="AN296" s="2"/>
      <c r="AO296" s="2"/>
    </row>
    <row r="297" spans="1:41" x14ac:dyDescent="0.2">
      <c r="A297" s="4" t="s">
        <v>1018</v>
      </c>
      <c r="B297" s="4" t="s">
        <v>179</v>
      </c>
      <c r="C297" s="5" t="s">
        <v>340</v>
      </c>
      <c r="D297" s="4" t="s">
        <v>29</v>
      </c>
      <c r="E297" s="4" t="s">
        <v>105</v>
      </c>
      <c r="F297" s="15">
        <v>35.666699999999999</v>
      </c>
      <c r="G297" s="15">
        <v>26.583300000000001</v>
      </c>
      <c r="H297" s="16" t="s">
        <v>340</v>
      </c>
      <c r="I297" s="4" t="s">
        <v>578</v>
      </c>
      <c r="J297" s="4" t="s">
        <v>241</v>
      </c>
      <c r="K297" s="6">
        <v>36.404000000000003</v>
      </c>
      <c r="L297" s="6">
        <v>25.396000000000001</v>
      </c>
      <c r="M297" s="5" t="s">
        <v>340</v>
      </c>
      <c r="N297" s="5" t="s">
        <v>340</v>
      </c>
      <c r="O297" s="4" t="s">
        <v>14</v>
      </c>
      <c r="P297" s="5">
        <v>30</v>
      </c>
      <c r="Q297" s="5" t="s">
        <v>1040</v>
      </c>
      <c r="R297" s="4" t="s">
        <v>184</v>
      </c>
      <c r="S297" s="4" t="s">
        <v>1121</v>
      </c>
      <c r="T297" s="7">
        <v>21078</v>
      </c>
      <c r="U297" s="7">
        <f>AVERAGE(V297,T297)</f>
        <v>21705</v>
      </c>
      <c r="V297" s="7">
        <v>22332</v>
      </c>
      <c r="W297" s="15" t="s">
        <v>900</v>
      </c>
      <c r="X297" s="15" t="s">
        <v>577</v>
      </c>
      <c r="Y297" s="7" t="s">
        <v>340</v>
      </c>
      <c r="Z297" s="7" t="s">
        <v>340</v>
      </c>
      <c r="AA297" s="7" t="s">
        <v>340</v>
      </c>
      <c r="AB297" s="7" t="s">
        <v>340</v>
      </c>
      <c r="AC297" s="7" t="s">
        <v>340</v>
      </c>
      <c r="AD297" s="7" t="s">
        <v>340</v>
      </c>
      <c r="AE297" s="7" t="s">
        <v>1022</v>
      </c>
      <c r="AF297" s="7" t="s">
        <v>1023</v>
      </c>
      <c r="AG297" s="7" t="s">
        <v>340</v>
      </c>
      <c r="AH297" s="5">
        <v>1</v>
      </c>
      <c r="AI297" s="5">
        <v>1</v>
      </c>
      <c r="AJ297" s="9">
        <f>IF(AND(ISNUMBER(F297),ISNUMBER(G297),ISNUMBER(K297),ISNUMBER(L297)),ACOS(MIN(1,COS(RADIANS(90-F297))*COS(RADIANS(90-K297))+SIN(RADIANS(90-F297))*SIN(RADIANS(90-K297))*COS(RADIANS(G297-L297))))*6371,"N/A")</f>
        <v>134.60502986478218</v>
      </c>
      <c r="AK297" s="10">
        <f>IF(AND(ISNUMBER(F297),ISNUMBER(G297),ISNUMBER(K297),ISNUMBER(L297)),MOD(DEGREES(ATAN2(COS(RADIANS(K297))*SIN(RADIANS(F297))-SIN(RADIANS(K297))*COS(RADIANS(F297))*COS(RADIANS(G297-L297)),SIN(RADIANS(G297-L297))*COS(RADIANS(F297))))+360,360),"N/A")</f>
        <v>127.17126275313325</v>
      </c>
      <c r="AL297" s="10" t="str">
        <f>IF(AND(ISNUMBER(F297),ISNUMBER(G297),ISNUMBER(M297),ISNUMBER(N297)),ACOS(MIN(1,COS(RADIANS(90-F297))*COS(RADIANS(90-M297))+SIN(RADIANS(90-F297))*SIN(RADIANS(90-M297))*COS(RADIANS(G297-N297))))*6371,"N/A")</f>
        <v>N/A</v>
      </c>
      <c r="AM297" s="10" t="str">
        <f>IF(AND(ISNUMBER(F297),ISNUMBER(G297),ISNUMBER(M297),ISNUMBER(N297)),MOD(DEGREES(ATAN2(COS(RADIANS(M297))*SIN(RADIANS(F297))-SIN(RADIANS(M297))*COS(RADIANS(F297))*COS(RADIANS(G297-N297)),SIN(RADIANS(G297-N297))*COS(RADIANS(F297))))+360,360),"N/A")</f>
        <v>N/A</v>
      </c>
      <c r="AN297" s="2"/>
      <c r="AO297" s="2"/>
    </row>
    <row r="298" spans="1:41" x14ac:dyDescent="0.2">
      <c r="A298" s="4" t="s">
        <v>1019</v>
      </c>
      <c r="B298" s="4" t="s">
        <v>179</v>
      </c>
      <c r="C298" s="5" t="s">
        <v>340</v>
      </c>
      <c r="D298" s="4" t="s">
        <v>29</v>
      </c>
      <c r="E298" s="4" t="s">
        <v>105</v>
      </c>
      <c r="F298" s="15">
        <v>35.666699999999999</v>
      </c>
      <c r="G298" s="15">
        <v>26.583300000000001</v>
      </c>
      <c r="H298" s="16" t="s">
        <v>340</v>
      </c>
      <c r="I298" s="4" t="s">
        <v>579</v>
      </c>
      <c r="J298" s="4" t="s">
        <v>241</v>
      </c>
      <c r="K298" s="6">
        <v>36.404000000000003</v>
      </c>
      <c r="L298" s="6">
        <v>25.396000000000001</v>
      </c>
      <c r="M298" s="5" t="s">
        <v>340</v>
      </c>
      <c r="N298" s="5" t="s">
        <v>340</v>
      </c>
      <c r="O298" s="4" t="s">
        <v>387</v>
      </c>
      <c r="P298" s="5">
        <v>20</v>
      </c>
      <c r="Q298" s="5">
        <v>9999</v>
      </c>
      <c r="R298" s="4" t="s">
        <v>41</v>
      </c>
      <c r="S298" s="4" t="s">
        <v>576</v>
      </c>
      <c r="T298" s="7">
        <v>3510</v>
      </c>
      <c r="U298" s="7">
        <v>3535</v>
      </c>
      <c r="V298" s="7">
        <v>3559</v>
      </c>
      <c r="W298" s="21" t="s">
        <v>935</v>
      </c>
      <c r="X298" s="21" t="s">
        <v>852</v>
      </c>
      <c r="Y298" s="7" t="s">
        <v>340</v>
      </c>
      <c r="Z298" s="7" t="s">
        <v>340</v>
      </c>
      <c r="AA298" s="7" t="s">
        <v>340</v>
      </c>
      <c r="AB298" s="7" t="s">
        <v>340</v>
      </c>
      <c r="AC298" s="7" t="s">
        <v>340</v>
      </c>
      <c r="AD298" s="7" t="s">
        <v>340</v>
      </c>
      <c r="AE298" s="7">
        <v>3535</v>
      </c>
      <c r="AF298" s="7">
        <v>25</v>
      </c>
      <c r="AG298" s="7" t="s">
        <v>340</v>
      </c>
      <c r="AH298" s="5">
        <v>1</v>
      </c>
      <c r="AI298" s="5">
        <v>1</v>
      </c>
      <c r="AJ298" s="9">
        <f>IF(AND(ISNUMBER(F298),ISNUMBER(G298),ISNUMBER(K298),ISNUMBER(L298)),ACOS(MIN(1,COS(RADIANS(90-F298))*COS(RADIANS(90-K298))+SIN(RADIANS(90-F298))*SIN(RADIANS(90-K298))*COS(RADIANS(G298-L298))))*6371,"N/A")</f>
        <v>134.60502986478218</v>
      </c>
      <c r="AK298" s="10">
        <f>IF(AND(ISNUMBER(F298),ISNUMBER(G298),ISNUMBER(K298),ISNUMBER(L298)),MOD(DEGREES(ATAN2(COS(RADIANS(K298))*SIN(RADIANS(F298))-SIN(RADIANS(K298))*COS(RADIANS(F298))*COS(RADIANS(G298-L298)),SIN(RADIANS(G298-L298))*COS(RADIANS(F298))))+360,360),"N/A")</f>
        <v>127.17126275313325</v>
      </c>
      <c r="AL298" s="10" t="str">
        <f>IF(AND(ISNUMBER(F298),ISNUMBER(G298),ISNUMBER(M298),ISNUMBER(N298)),ACOS(MIN(1,COS(RADIANS(90-F298))*COS(RADIANS(90-M298))+SIN(RADIANS(90-F298))*SIN(RADIANS(90-M298))*COS(RADIANS(G298-N298))))*6371,"N/A")</f>
        <v>N/A</v>
      </c>
      <c r="AM298" s="10" t="str">
        <f>IF(AND(ISNUMBER(F298),ISNUMBER(G298),ISNUMBER(M298),ISNUMBER(N298)),MOD(DEGREES(ATAN2(COS(RADIANS(M298))*SIN(RADIANS(F298))-SIN(RADIANS(M298))*COS(RADIANS(F298))*COS(RADIANS(G298-N298)),SIN(RADIANS(G298-N298))*COS(RADIANS(F298))))+360,360),"N/A")</f>
        <v>N/A</v>
      </c>
      <c r="AN298" s="2"/>
      <c r="AO298" s="2"/>
    </row>
    <row r="299" spans="1:41" x14ac:dyDescent="0.2">
      <c r="A299" s="4" t="s">
        <v>431</v>
      </c>
      <c r="B299" s="4" t="s">
        <v>1528</v>
      </c>
      <c r="C299" s="5">
        <v>481</v>
      </c>
      <c r="D299" s="4" t="s">
        <v>17</v>
      </c>
      <c r="E299" s="4" t="s">
        <v>18</v>
      </c>
      <c r="F299" s="15">
        <v>46.762500000000003</v>
      </c>
      <c r="G299" s="15">
        <v>14.4194</v>
      </c>
      <c r="H299" s="16">
        <v>548</v>
      </c>
      <c r="I299" s="4" t="s">
        <v>19</v>
      </c>
      <c r="J299" s="4" t="s">
        <v>15</v>
      </c>
      <c r="K299" s="6">
        <v>40.826999999999998</v>
      </c>
      <c r="L299" s="6">
        <v>14.138999999999999</v>
      </c>
      <c r="M299" s="5" t="s">
        <v>340</v>
      </c>
      <c r="N299" s="5" t="s">
        <v>340</v>
      </c>
      <c r="O299" s="4" t="s">
        <v>20</v>
      </c>
      <c r="P299" s="5" t="s">
        <v>340</v>
      </c>
      <c r="Q299" s="5" t="s">
        <v>340</v>
      </c>
      <c r="R299" s="4" t="s">
        <v>41</v>
      </c>
      <c r="S299" s="4" t="s">
        <v>432</v>
      </c>
      <c r="T299" s="7">
        <v>13761</v>
      </c>
      <c r="U299" s="7">
        <v>14029</v>
      </c>
      <c r="V299" s="7">
        <v>14356</v>
      </c>
      <c r="W299" s="15" t="s">
        <v>933</v>
      </c>
      <c r="X299" s="15" t="s">
        <v>1358</v>
      </c>
      <c r="Y299" s="7" t="s">
        <v>340</v>
      </c>
      <c r="Z299" s="7" t="s">
        <v>340</v>
      </c>
      <c r="AA299" s="7" t="s">
        <v>340</v>
      </c>
      <c r="AB299" s="7" t="s">
        <v>340</v>
      </c>
      <c r="AC299" s="7">
        <v>14120</v>
      </c>
      <c r="AD299" s="7">
        <v>710</v>
      </c>
      <c r="AE299" s="7">
        <v>14037</v>
      </c>
      <c r="AF299" s="7">
        <v>156</v>
      </c>
      <c r="AG299" s="7" t="s">
        <v>340</v>
      </c>
      <c r="AH299" s="5">
        <v>1</v>
      </c>
      <c r="AI299" s="5">
        <v>1</v>
      </c>
      <c r="AJ299" s="9">
        <f>IF(AND(ISNUMBER(F299),ISNUMBER(G299),ISNUMBER(K299),ISNUMBER(L299)),ACOS(MIN(1,COS(RADIANS(90-F299))*COS(RADIANS(90-K299))+SIN(RADIANS(90-F299))*SIN(RADIANS(90-K299))*COS(RADIANS(G299-L299))))*6371,"N/A")</f>
        <v>660.37980681991735</v>
      </c>
      <c r="AK299" s="10">
        <f>IF(AND(ISNUMBER(F299),ISNUMBER(G299),ISNUMBER(K299),ISNUMBER(L299)),MOD(DEGREES(ATAN2(COS(RADIANS(K299))*SIN(RADIANS(F299))-SIN(RADIANS(K299))*COS(RADIANS(F299))*COS(RADIANS(G299-L299)),SIN(RADIANS(G299-L299))*COS(RADIANS(F299))))+360,360),"N/A")</f>
        <v>1.8567349349635833</v>
      </c>
      <c r="AL299" s="10" t="str">
        <f>IF(AND(ISNUMBER(F299),ISNUMBER(G299),ISNUMBER(M299),ISNUMBER(N299)),ACOS(MIN(1,COS(RADIANS(90-F299))*COS(RADIANS(90-M299))+SIN(RADIANS(90-F299))*SIN(RADIANS(90-M299))*COS(RADIANS(G299-N299))))*6371,"N/A")</f>
        <v>N/A</v>
      </c>
      <c r="AM299" s="10" t="str">
        <f>IF(AND(ISNUMBER(F299),ISNUMBER(G299),ISNUMBER(M299),ISNUMBER(N299)),MOD(DEGREES(ATAN2(COS(RADIANS(M299))*SIN(RADIANS(F299))-SIN(RADIANS(M299))*COS(RADIANS(F299))*COS(RADIANS(G299-N299)),SIN(RADIANS(G299-N299))*COS(RADIANS(F299))))+360,360),"N/A")</f>
        <v>N/A</v>
      </c>
      <c r="AN299" s="2"/>
      <c r="AO299" s="2"/>
    </row>
    <row r="300" spans="1:41" x14ac:dyDescent="0.2">
      <c r="A300" s="4" t="s">
        <v>1529</v>
      </c>
      <c r="B300" s="4" t="s">
        <v>30</v>
      </c>
      <c r="C300" s="5">
        <v>519</v>
      </c>
      <c r="D300" s="4" t="s">
        <v>29</v>
      </c>
      <c r="E300" s="4" t="s">
        <v>31</v>
      </c>
      <c r="F300" s="15">
        <v>40.948799999999999</v>
      </c>
      <c r="G300" s="15">
        <v>24.316800000000001</v>
      </c>
      <c r="H300" s="16">
        <v>45</v>
      </c>
      <c r="I300" s="4" t="s">
        <v>181</v>
      </c>
      <c r="J300" s="4" t="s">
        <v>241</v>
      </c>
      <c r="K300" s="6">
        <v>36.404000000000003</v>
      </c>
      <c r="L300" s="6">
        <v>25.396000000000001</v>
      </c>
      <c r="M300" s="5" t="s">
        <v>340</v>
      </c>
      <c r="N300" s="5" t="s">
        <v>340</v>
      </c>
      <c r="O300" s="4" t="s">
        <v>14</v>
      </c>
      <c r="P300" s="5">
        <v>17</v>
      </c>
      <c r="Q300" s="5" t="s">
        <v>340</v>
      </c>
      <c r="R300" s="4" t="s">
        <v>41</v>
      </c>
      <c r="T300" s="7">
        <v>12500</v>
      </c>
      <c r="U300" s="7">
        <v>13000</v>
      </c>
      <c r="V300" s="7">
        <v>13500</v>
      </c>
      <c r="W300" s="15" t="s">
        <v>1530</v>
      </c>
      <c r="X300" s="15" t="s">
        <v>1531</v>
      </c>
      <c r="Y300" s="7">
        <v>10152</v>
      </c>
      <c r="Z300" s="7">
        <v>57</v>
      </c>
      <c r="AA300" s="7" t="s">
        <v>340</v>
      </c>
      <c r="AB300" s="7" t="s">
        <v>340</v>
      </c>
      <c r="AC300" s="7" t="s">
        <v>340</v>
      </c>
      <c r="AD300" s="7" t="s">
        <v>340</v>
      </c>
      <c r="AE300" s="7" t="s">
        <v>340</v>
      </c>
      <c r="AF300" s="7" t="s">
        <v>340</v>
      </c>
      <c r="AG300" s="7" t="s">
        <v>340</v>
      </c>
      <c r="AH300" s="5">
        <v>1</v>
      </c>
      <c r="AI300" s="5">
        <v>1</v>
      </c>
      <c r="AJ300" s="9">
        <f>IF(AND(ISNUMBER(F300),ISNUMBER(G300),ISNUMBER(K300),ISNUMBER(L300)),ACOS(MIN(1,COS(RADIANS(90-F300))*COS(RADIANS(90-K300))+SIN(RADIANS(90-F300))*SIN(RADIANS(90-K300))*COS(RADIANS(G300-L300))))*6371,"N/A")</f>
        <v>513.95574919799071</v>
      </c>
      <c r="AK300" s="10">
        <f>IF(AND(ISNUMBER(F300),ISNUMBER(G300),ISNUMBER(K300),ISNUMBER(L300)),MOD(DEGREES(ATAN2(COS(RADIANS(K300))*SIN(RADIANS(F300))-SIN(RADIANS(K300))*COS(RADIANS(F300))*COS(RADIANS(G300-L300)),SIN(RADIANS(G300-L300))*COS(RADIANS(F300))))+360,360),"N/A")</f>
        <v>349.83217346430706</v>
      </c>
      <c r="AL300" s="10" t="str">
        <f>IF(AND(ISNUMBER(F300),ISNUMBER(G300),ISNUMBER(M300),ISNUMBER(N300)),ACOS(MIN(1,COS(RADIANS(90-F300))*COS(RADIANS(90-M300))+SIN(RADIANS(90-F300))*SIN(RADIANS(90-M300))*COS(RADIANS(G300-N300))))*6371,"N/A")</f>
        <v>N/A</v>
      </c>
      <c r="AM300" s="10" t="str">
        <f>IF(AND(ISNUMBER(F300),ISNUMBER(G300),ISNUMBER(M300),ISNUMBER(N300)),MOD(DEGREES(ATAN2(COS(RADIANS(M300))*SIN(RADIANS(F300))-SIN(RADIANS(M300))*COS(RADIANS(F300))*COS(RADIANS(G300-N300)),SIN(RADIANS(G300-N300))*COS(RADIANS(F300))))+360,360),"N/A")</f>
        <v>N/A</v>
      </c>
      <c r="AN300" s="2"/>
      <c r="AO300" s="2"/>
    </row>
    <row r="301" spans="1:41" x14ac:dyDescent="0.2">
      <c r="A301" s="4" t="s">
        <v>887</v>
      </c>
      <c r="B301" s="4" t="s">
        <v>30</v>
      </c>
      <c r="C301" s="5">
        <v>519</v>
      </c>
      <c r="D301" s="4" t="s">
        <v>29</v>
      </c>
      <c r="E301" s="4" t="s">
        <v>31</v>
      </c>
      <c r="F301" s="15">
        <v>40.948799999999999</v>
      </c>
      <c r="G301" s="15">
        <v>24.316800000000001</v>
      </c>
      <c r="H301" s="16">
        <v>45</v>
      </c>
      <c r="I301" s="4" t="s">
        <v>181</v>
      </c>
      <c r="J301" s="4" t="s">
        <v>241</v>
      </c>
      <c r="K301" s="6">
        <v>36.404000000000003</v>
      </c>
      <c r="L301" s="6">
        <v>25.396000000000001</v>
      </c>
      <c r="M301" s="5" t="s">
        <v>340</v>
      </c>
      <c r="N301" s="5" t="s">
        <v>340</v>
      </c>
      <c r="O301" s="4" t="s">
        <v>246</v>
      </c>
      <c r="P301" s="5">
        <v>39</v>
      </c>
      <c r="Q301" s="5">
        <v>9999</v>
      </c>
      <c r="R301" s="4" t="s">
        <v>41</v>
      </c>
      <c r="S301" s="4" t="s">
        <v>1121</v>
      </c>
      <c r="T301" s="7">
        <v>21353</v>
      </c>
      <c r="U301" s="7">
        <v>22170</v>
      </c>
      <c r="V301" s="7">
        <v>22575</v>
      </c>
      <c r="W301" s="15" t="s">
        <v>933</v>
      </c>
      <c r="X301" s="15" t="s">
        <v>1358</v>
      </c>
      <c r="Y301" s="7" t="s">
        <v>340</v>
      </c>
      <c r="Z301" s="7" t="s">
        <v>340</v>
      </c>
      <c r="AA301" s="7" t="s">
        <v>340</v>
      </c>
      <c r="AB301" s="7" t="s">
        <v>340</v>
      </c>
      <c r="AC301" s="7" t="s">
        <v>340</v>
      </c>
      <c r="AD301" s="7" t="s">
        <v>340</v>
      </c>
      <c r="AE301" s="7">
        <v>22101</v>
      </c>
      <c r="AF301" s="7">
        <v>308</v>
      </c>
      <c r="AG301" s="7" t="s">
        <v>340</v>
      </c>
      <c r="AH301" s="5">
        <v>1</v>
      </c>
      <c r="AI301" s="5">
        <v>1</v>
      </c>
      <c r="AJ301" s="9">
        <f>IF(AND(ISNUMBER(F301),ISNUMBER(G301),ISNUMBER(K301),ISNUMBER(L301)),ACOS(MIN(1,COS(RADIANS(90-F301))*COS(RADIANS(90-K301))+SIN(RADIANS(90-F301))*SIN(RADIANS(90-K301))*COS(RADIANS(G301-L301))))*6371,"N/A")</f>
        <v>513.95574919799071</v>
      </c>
      <c r="AK301" s="10">
        <f>IF(AND(ISNUMBER(F301),ISNUMBER(G301),ISNUMBER(K301),ISNUMBER(L301)),MOD(DEGREES(ATAN2(COS(RADIANS(K301))*SIN(RADIANS(F301))-SIN(RADIANS(K301))*COS(RADIANS(F301))*COS(RADIANS(G301-L301)),SIN(RADIANS(G301-L301))*COS(RADIANS(F301))))+360,360),"N/A")</f>
        <v>349.83217346430706</v>
      </c>
      <c r="AL301" s="10" t="str">
        <f>IF(AND(ISNUMBER(F301),ISNUMBER(G301),ISNUMBER(M301),ISNUMBER(N301)),ACOS(MIN(1,COS(RADIANS(90-F301))*COS(RADIANS(90-M301))+SIN(RADIANS(90-F301))*SIN(RADIANS(90-M301))*COS(RADIANS(G301-N301))))*6371,"N/A")</f>
        <v>N/A</v>
      </c>
      <c r="AM301" s="10" t="str">
        <f>IF(AND(ISNUMBER(F301),ISNUMBER(G301),ISNUMBER(M301),ISNUMBER(N301)),MOD(DEGREES(ATAN2(COS(RADIANS(M301))*SIN(RADIANS(F301))-SIN(RADIANS(M301))*COS(RADIANS(F301))*COS(RADIANS(G301-N301)),SIN(RADIANS(G301-N301))*COS(RADIANS(F301))))+360,360),"N/A")</f>
        <v>N/A</v>
      </c>
      <c r="AN301" s="2"/>
      <c r="AO301" s="2"/>
    </row>
    <row r="302" spans="1:41" x14ac:dyDescent="0.2">
      <c r="A302" s="4" t="s">
        <v>449</v>
      </c>
      <c r="B302" s="4" t="s">
        <v>115</v>
      </c>
      <c r="C302" s="5">
        <v>602</v>
      </c>
      <c r="D302" s="4" t="s">
        <v>70</v>
      </c>
      <c r="E302" s="4" t="s">
        <v>71</v>
      </c>
      <c r="F302" s="15">
        <v>41.283299999999997</v>
      </c>
      <c r="G302" s="15">
        <v>17.616700000000002</v>
      </c>
      <c r="H302" s="16">
        <v>-1010</v>
      </c>
      <c r="I302" s="4" t="s">
        <v>333</v>
      </c>
      <c r="J302" s="4" t="s">
        <v>15</v>
      </c>
      <c r="K302" s="6">
        <v>40.826999999999998</v>
      </c>
      <c r="L302" s="6">
        <v>14.138999999999999</v>
      </c>
      <c r="M302" s="5" t="s">
        <v>340</v>
      </c>
      <c r="N302" s="5" t="s">
        <v>340</v>
      </c>
      <c r="O302" s="4" t="s">
        <v>199</v>
      </c>
      <c r="P302" s="5">
        <v>30</v>
      </c>
      <c r="Q302" s="5">
        <v>9999</v>
      </c>
      <c r="R302" s="4" t="s">
        <v>41</v>
      </c>
      <c r="S302" s="4" t="s">
        <v>459</v>
      </c>
      <c r="T302" s="7">
        <v>4483</v>
      </c>
      <c r="U302" s="7">
        <v>4540</v>
      </c>
      <c r="V302" s="7">
        <v>4627</v>
      </c>
      <c r="W302" s="15" t="s">
        <v>928</v>
      </c>
      <c r="X302" s="21" t="s">
        <v>1357</v>
      </c>
      <c r="Y302" s="7" t="s">
        <v>340</v>
      </c>
      <c r="Z302" s="7" t="s">
        <v>340</v>
      </c>
      <c r="AA302" s="7" t="s">
        <v>340</v>
      </c>
      <c r="AB302" s="7" t="s">
        <v>340</v>
      </c>
      <c r="AC302" s="7">
        <v>5390</v>
      </c>
      <c r="AD302" s="7">
        <v>270</v>
      </c>
      <c r="AE302" s="7">
        <v>4546</v>
      </c>
      <c r="AF302" s="7">
        <v>36</v>
      </c>
      <c r="AG302" s="7" t="s">
        <v>340</v>
      </c>
      <c r="AH302" s="5">
        <v>1</v>
      </c>
      <c r="AI302" s="5">
        <v>1</v>
      </c>
      <c r="AJ302" s="9">
        <f>IF(AND(ISNUMBER(F302),ISNUMBER(G302),ISNUMBER(K302),ISNUMBER(L302)),ACOS(MIN(1,COS(RADIANS(90-F302))*COS(RADIANS(90-K302))+SIN(RADIANS(90-F302))*SIN(RADIANS(90-K302))*COS(RADIANS(G302-L302))))*6371,"N/A")</f>
        <v>295.96354897512805</v>
      </c>
      <c r="AK302" s="10">
        <f>IF(AND(ISNUMBER(F302),ISNUMBER(G302),ISNUMBER(K302),ISNUMBER(L302)),MOD(DEGREES(ATAN2(COS(RADIANS(K302))*SIN(RADIANS(F302))-SIN(RADIANS(K302))*COS(RADIANS(F302))*COS(RADIANS(G302-L302)),SIN(RADIANS(G302-L302))*COS(RADIANS(F302))))+360,360),"N/A")</f>
        <v>78.990250686818854</v>
      </c>
      <c r="AL302" s="10" t="str">
        <f>IF(AND(ISNUMBER(F302),ISNUMBER(G302),ISNUMBER(M302),ISNUMBER(N302)),ACOS(MIN(1,COS(RADIANS(90-F302))*COS(RADIANS(90-M302))+SIN(RADIANS(90-F302))*SIN(RADIANS(90-M302))*COS(RADIANS(G302-N302))))*6371,"N/A")</f>
        <v>N/A</v>
      </c>
      <c r="AM302" s="10" t="str">
        <f>IF(AND(ISNUMBER(F302),ISNUMBER(G302),ISNUMBER(M302),ISNUMBER(N302)),MOD(DEGREES(ATAN2(COS(RADIANS(M302))*SIN(RADIANS(F302))-SIN(RADIANS(M302))*COS(RADIANS(F302))*COS(RADIANS(G302-N302)),SIN(RADIANS(G302-N302))*COS(RADIANS(F302))))+360,360),"N/A")</f>
        <v>N/A</v>
      </c>
      <c r="AN302" s="2"/>
      <c r="AO302" s="2"/>
    </row>
    <row r="303" spans="1:41" x14ac:dyDescent="0.2">
      <c r="A303" s="4" t="s">
        <v>448</v>
      </c>
      <c r="B303" s="4" t="s">
        <v>115</v>
      </c>
      <c r="C303" s="5">
        <v>602</v>
      </c>
      <c r="D303" s="4" t="s">
        <v>70</v>
      </c>
      <c r="E303" s="4" t="s">
        <v>71</v>
      </c>
      <c r="F303" s="15">
        <v>41.283299999999997</v>
      </c>
      <c r="G303" s="15">
        <v>17.616700000000002</v>
      </c>
      <c r="H303" s="16">
        <v>-1010</v>
      </c>
      <c r="I303" s="4" t="s">
        <v>333</v>
      </c>
      <c r="J303" s="4" t="s">
        <v>15</v>
      </c>
      <c r="K303" s="6">
        <v>40.826999999999998</v>
      </c>
      <c r="L303" s="6">
        <v>14.138999999999999</v>
      </c>
      <c r="M303" s="5" t="s">
        <v>340</v>
      </c>
      <c r="N303" s="5" t="s">
        <v>340</v>
      </c>
      <c r="O303" s="4" t="s">
        <v>447</v>
      </c>
      <c r="P303" s="5">
        <v>40</v>
      </c>
      <c r="Q303" s="5">
        <v>9999</v>
      </c>
      <c r="R303" s="4" t="s">
        <v>41</v>
      </c>
      <c r="S303" s="4" t="s">
        <v>459</v>
      </c>
      <c r="T303" s="7">
        <v>4101</v>
      </c>
      <c r="U303" s="7">
        <v>4217</v>
      </c>
      <c r="V303" s="7">
        <v>4337</v>
      </c>
      <c r="W303" s="15" t="s">
        <v>1336</v>
      </c>
      <c r="X303" s="15" t="s">
        <v>1361</v>
      </c>
      <c r="Y303" s="7">
        <v>3820</v>
      </c>
      <c r="Z303" s="7">
        <v>50</v>
      </c>
      <c r="AA303" s="7" t="s">
        <v>340</v>
      </c>
      <c r="AB303" s="7" t="s">
        <v>340</v>
      </c>
      <c r="AC303" s="7" t="s">
        <v>340</v>
      </c>
      <c r="AD303" s="7" t="s">
        <v>340</v>
      </c>
      <c r="AE303" s="7">
        <v>4215</v>
      </c>
      <c r="AF303" s="7">
        <v>58</v>
      </c>
      <c r="AG303" s="7" t="s">
        <v>340</v>
      </c>
      <c r="AH303" s="5">
        <v>1</v>
      </c>
      <c r="AI303" s="5">
        <v>1</v>
      </c>
      <c r="AJ303" s="9">
        <f>IF(AND(ISNUMBER(F303),ISNUMBER(G303),ISNUMBER(K303),ISNUMBER(L303)),ACOS(MIN(1,COS(RADIANS(90-F303))*COS(RADIANS(90-K303))+SIN(RADIANS(90-F303))*SIN(RADIANS(90-K303))*COS(RADIANS(G303-L303))))*6371,"N/A")</f>
        <v>295.96354897512805</v>
      </c>
      <c r="AK303" s="10">
        <f>IF(AND(ISNUMBER(F303),ISNUMBER(G303),ISNUMBER(K303),ISNUMBER(L303)),MOD(DEGREES(ATAN2(COS(RADIANS(K303))*SIN(RADIANS(F303))-SIN(RADIANS(K303))*COS(RADIANS(F303))*COS(RADIANS(G303-L303)),SIN(RADIANS(G303-L303))*COS(RADIANS(F303))))+360,360),"N/A")</f>
        <v>78.990250686818854</v>
      </c>
      <c r="AL303" s="10" t="str">
        <f>IF(AND(ISNUMBER(F303),ISNUMBER(G303),ISNUMBER(M303),ISNUMBER(N303)),ACOS(MIN(1,COS(RADIANS(90-F303))*COS(RADIANS(90-M303))+SIN(RADIANS(90-F303))*SIN(RADIANS(90-M303))*COS(RADIANS(G303-N303))))*6371,"N/A")</f>
        <v>N/A</v>
      </c>
      <c r="AM303" s="10" t="str">
        <f>IF(AND(ISNUMBER(F303),ISNUMBER(G303),ISNUMBER(M303),ISNUMBER(N303)),MOD(DEGREES(ATAN2(COS(RADIANS(M303))*SIN(RADIANS(F303))-SIN(RADIANS(M303))*COS(RADIANS(F303))*COS(RADIANS(G303-N303)),SIN(RADIANS(G303-N303))*COS(RADIANS(F303))))+360,360),"N/A")</f>
        <v>N/A</v>
      </c>
      <c r="AN303" s="2"/>
      <c r="AO303" s="2"/>
    </row>
    <row r="304" spans="1:41" x14ac:dyDescent="0.2">
      <c r="A304" s="4" t="s">
        <v>460</v>
      </c>
      <c r="B304" s="4" t="s">
        <v>115</v>
      </c>
      <c r="C304" s="5">
        <v>602</v>
      </c>
      <c r="D304" s="4" t="s">
        <v>70</v>
      </c>
      <c r="E304" s="4" t="s">
        <v>71</v>
      </c>
      <c r="F304" s="15">
        <v>41.283299999999997</v>
      </c>
      <c r="G304" s="15">
        <v>17.616700000000002</v>
      </c>
      <c r="H304" s="16">
        <v>-1010</v>
      </c>
      <c r="I304" s="4" t="s">
        <v>333</v>
      </c>
      <c r="J304" s="4" t="s">
        <v>15</v>
      </c>
      <c r="K304" s="6">
        <v>40.826999999999998</v>
      </c>
      <c r="L304" s="6">
        <v>14.138999999999999</v>
      </c>
      <c r="M304" s="5" t="s">
        <v>340</v>
      </c>
      <c r="N304" s="5" t="s">
        <v>340</v>
      </c>
      <c r="O304" s="4" t="s">
        <v>445</v>
      </c>
      <c r="P304" s="5">
        <v>20</v>
      </c>
      <c r="Q304" s="5">
        <v>9999</v>
      </c>
      <c r="R304" s="4" t="s">
        <v>41</v>
      </c>
      <c r="S304" s="4" t="s">
        <v>1121</v>
      </c>
      <c r="T304" s="7">
        <v>15346</v>
      </c>
      <c r="U304" s="7">
        <v>15644</v>
      </c>
      <c r="V304" s="7">
        <v>15941</v>
      </c>
      <c r="W304" s="15" t="s">
        <v>1091</v>
      </c>
      <c r="X304" s="15" t="s">
        <v>1364</v>
      </c>
      <c r="Y304" s="7">
        <v>13070</v>
      </c>
      <c r="Z304" s="7">
        <v>90</v>
      </c>
      <c r="AA304" s="7" t="s">
        <v>340</v>
      </c>
      <c r="AB304" s="7" t="s">
        <v>340</v>
      </c>
      <c r="AC304" s="7" t="s">
        <v>340</v>
      </c>
      <c r="AD304" s="7" t="s">
        <v>340</v>
      </c>
      <c r="AE304" s="7" t="s">
        <v>340</v>
      </c>
      <c r="AF304" s="7" t="s">
        <v>340</v>
      </c>
      <c r="AG304" s="7" t="s">
        <v>340</v>
      </c>
      <c r="AH304" s="5">
        <v>1</v>
      </c>
      <c r="AI304" s="5">
        <v>1</v>
      </c>
      <c r="AJ304" s="9">
        <f>IF(AND(ISNUMBER(F304),ISNUMBER(G304),ISNUMBER(K304),ISNUMBER(L304)),ACOS(MIN(1,COS(RADIANS(90-F304))*COS(RADIANS(90-K304))+SIN(RADIANS(90-F304))*SIN(RADIANS(90-K304))*COS(RADIANS(G304-L304))))*6371,"N/A")</f>
        <v>295.96354897512805</v>
      </c>
      <c r="AK304" s="10">
        <f>IF(AND(ISNUMBER(F304),ISNUMBER(G304),ISNUMBER(K304),ISNUMBER(L304)),MOD(DEGREES(ATAN2(COS(RADIANS(K304))*SIN(RADIANS(F304))-SIN(RADIANS(K304))*COS(RADIANS(F304))*COS(RADIANS(G304-L304)),SIN(RADIANS(G304-L304))*COS(RADIANS(F304))))+360,360),"N/A")</f>
        <v>78.990250686818854</v>
      </c>
      <c r="AL304" s="10" t="str">
        <f>IF(AND(ISNUMBER(F304),ISNUMBER(G304),ISNUMBER(M304),ISNUMBER(N304)),ACOS(MIN(1,COS(RADIANS(90-F304))*COS(RADIANS(90-M304))+SIN(RADIANS(90-F304))*SIN(RADIANS(90-M304))*COS(RADIANS(G304-N304))))*6371,"N/A")</f>
        <v>N/A</v>
      </c>
      <c r="AM304" s="10" t="str">
        <f>IF(AND(ISNUMBER(F304),ISNUMBER(G304),ISNUMBER(M304),ISNUMBER(N304)),MOD(DEGREES(ATAN2(COS(RADIANS(M304))*SIN(RADIANS(F304))-SIN(RADIANS(M304))*COS(RADIANS(F304))*COS(RADIANS(G304-N304)),SIN(RADIANS(G304-N304))*COS(RADIANS(F304))))+360,360),"N/A")</f>
        <v>N/A</v>
      </c>
      <c r="AN304" s="2"/>
      <c r="AO304" s="2"/>
    </row>
    <row r="305" spans="1:41" x14ac:dyDescent="0.2">
      <c r="A305" s="4" t="s">
        <v>456</v>
      </c>
      <c r="B305" s="4" t="s">
        <v>115</v>
      </c>
      <c r="C305" s="5">
        <v>602</v>
      </c>
      <c r="D305" s="4" t="s">
        <v>70</v>
      </c>
      <c r="E305" s="4" t="s">
        <v>71</v>
      </c>
      <c r="F305" s="15">
        <v>41.283299999999997</v>
      </c>
      <c r="G305" s="15">
        <v>17.616700000000002</v>
      </c>
      <c r="H305" s="16">
        <v>-1010</v>
      </c>
      <c r="I305" s="4" t="s">
        <v>333</v>
      </c>
      <c r="J305" s="4" t="s">
        <v>15</v>
      </c>
      <c r="K305" s="6">
        <v>40.826999999999998</v>
      </c>
      <c r="L305" s="6">
        <v>14.138999999999999</v>
      </c>
      <c r="M305" s="5" t="s">
        <v>340</v>
      </c>
      <c r="N305" s="5" t="s">
        <v>340</v>
      </c>
      <c r="O305" s="4" t="s">
        <v>20</v>
      </c>
      <c r="P305" s="5">
        <v>20</v>
      </c>
      <c r="Q305" s="5">
        <v>9999</v>
      </c>
      <c r="R305" s="4" t="s">
        <v>41</v>
      </c>
      <c r="S305" s="4" t="s">
        <v>1121</v>
      </c>
      <c r="T305" s="7">
        <v>13761</v>
      </c>
      <c r="U305" s="7">
        <v>14029</v>
      </c>
      <c r="V305" s="7">
        <v>14356</v>
      </c>
      <c r="W305" s="15" t="s">
        <v>933</v>
      </c>
      <c r="X305" s="15" t="s">
        <v>1358</v>
      </c>
      <c r="Y305" s="7" t="s">
        <v>340</v>
      </c>
      <c r="Z305" s="7" t="s">
        <v>340</v>
      </c>
      <c r="AA305" s="7" t="s">
        <v>340</v>
      </c>
      <c r="AB305" s="7" t="s">
        <v>340</v>
      </c>
      <c r="AC305" s="7">
        <v>14120</v>
      </c>
      <c r="AD305" s="7">
        <v>710</v>
      </c>
      <c r="AE305" s="7">
        <v>14037</v>
      </c>
      <c r="AF305" s="7">
        <v>156</v>
      </c>
      <c r="AG305" s="7" t="s">
        <v>340</v>
      </c>
      <c r="AH305" s="5">
        <v>1</v>
      </c>
      <c r="AI305" s="5">
        <v>1</v>
      </c>
      <c r="AJ305" s="9">
        <f>IF(AND(ISNUMBER(F305),ISNUMBER(G305),ISNUMBER(K305),ISNUMBER(L305)),ACOS(MIN(1,COS(RADIANS(90-F305))*COS(RADIANS(90-K305))+SIN(RADIANS(90-F305))*SIN(RADIANS(90-K305))*COS(RADIANS(G305-L305))))*6371,"N/A")</f>
        <v>295.96354897512805</v>
      </c>
      <c r="AK305" s="10">
        <f>IF(AND(ISNUMBER(F305),ISNUMBER(G305),ISNUMBER(K305),ISNUMBER(L305)),MOD(DEGREES(ATAN2(COS(RADIANS(K305))*SIN(RADIANS(F305))-SIN(RADIANS(K305))*COS(RADIANS(F305))*COS(RADIANS(G305-L305)),SIN(RADIANS(G305-L305))*COS(RADIANS(F305))))+360,360),"N/A")</f>
        <v>78.990250686818854</v>
      </c>
      <c r="AL305" s="10" t="str">
        <f>IF(AND(ISNUMBER(F305),ISNUMBER(G305),ISNUMBER(M305),ISNUMBER(N305)),ACOS(MIN(1,COS(RADIANS(90-F305))*COS(RADIANS(90-M305))+SIN(RADIANS(90-F305))*SIN(RADIANS(90-M305))*COS(RADIANS(G305-N305))))*6371,"N/A")</f>
        <v>N/A</v>
      </c>
      <c r="AM305" s="10" t="str">
        <f>IF(AND(ISNUMBER(F305),ISNUMBER(G305),ISNUMBER(M305),ISNUMBER(N305)),MOD(DEGREES(ATAN2(COS(RADIANS(M305))*SIN(RADIANS(F305))-SIN(RADIANS(M305))*COS(RADIANS(F305))*COS(RADIANS(G305-N305)),SIN(RADIANS(G305-N305))*COS(RADIANS(F305))))+360,360),"N/A")</f>
        <v>N/A</v>
      </c>
      <c r="AN305" s="2"/>
      <c r="AO305" s="2"/>
    </row>
    <row r="306" spans="1:41" x14ac:dyDescent="0.2">
      <c r="A306" s="4" t="s">
        <v>455</v>
      </c>
      <c r="B306" s="4" t="s">
        <v>115</v>
      </c>
      <c r="C306" s="5">
        <v>602</v>
      </c>
      <c r="D306" s="4" t="s">
        <v>70</v>
      </c>
      <c r="E306" s="4" t="s">
        <v>71</v>
      </c>
      <c r="F306" s="15">
        <v>41.283299999999997</v>
      </c>
      <c r="G306" s="15">
        <v>17.616700000000002</v>
      </c>
      <c r="H306" s="16">
        <v>-1010</v>
      </c>
      <c r="I306" s="4" t="s">
        <v>333</v>
      </c>
      <c r="J306" s="4" t="s">
        <v>15</v>
      </c>
      <c r="K306" s="6">
        <v>40.826999999999998</v>
      </c>
      <c r="L306" s="6">
        <v>14.138999999999999</v>
      </c>
      <c r="M306" s="5" t="s">
        <v>340</v>
      </c>
      <c r="N306" s="5" t="s">
        <v>340</v>
      </c>
      <c r="O306" s="4" t="s">
        <v>232</v>
      </c>
      <c r="P306" s="5">
        <v>72</v>
      </c>
      <c r="Q306" s="5">
        <v>9999</v>
      </c>
      <c r="R306" s="4" t="s">
        <v>41</v>
      </c>
      <c r="S306" s="4" t="s">
        <v>1121</v>
      </c>
      <c r="T306" s="7">
        <v>11860</v>
      </c>
      <c r="U306" s="7">
        <v>12096</v>
      </c>
      <c r="V306" s="7">
        <v>12396</v>
      </c>
      <c r="W306" s="15" t="s">
        <v>928</v>
      </c>
      <c r="X306" s="21" t="s">
        <v>1357</v>
      </c>
      <c r="Y306" s="7" t="s">
        <v>340</v>
      </c>
      <c r="Z306" s="7" t="s">
        <v>340</v>
      </c>
      <c r="AA306" s="7" t="s">
        <v>340</v>
      </c>
      <c r="AB306" s="7" t="s">
        <v>340</v>
      </c>
      <c r="AC306" s="7">
        <v>12180</v>
      </c>
      <c r="AD306" s="7">
        <v>610</v>
      </c>
      <c r="AE306" s="7">
        <v>12104</v>
      </c>
      <c r="AF306" s="7">
        <v>141</v>
      </c>
      <c r="AG306" s="7" t="s">
        <v>340</v>
      </c>
      <c r="AH306" s="5">
        <v>1</v>
      </c>
      <c r="AI306" s="5">
        <v>1</v>
      </c>
      <c r="AJ306" s="9">
        <f>IF(AND(ISNUMBER(F306),ISNUMBER(G306),ISNUMBER(K306),ISNUMBER(L306)),ACOS(MIN(1,COS(RADIANS(90-F306))*COS(RADIANS(90-K306))+SIN(RADIANS(90-F306))*SIN(RADIANS(90-K306))*COS(RADIANS(G306-L306))))*6371,"N/A")</f>
        <v>295.96354897512805</v>
      </c>
      <c r="AK306" s="10">
        <f>IF(AND(ISNUMBER(F306),ISNUMBER(G306),ISNUMBER(K306),ISNUMBER(L306)),MOD(DEGREES(ATAN2(COS(RADIANS(K306))*SIN(RADIANS(F306))-SIN(RADIANS(K306))*COS(RADIANS(F306))*COS(RADIANS(G306-L306)),SIN(RADIANS(G306-L306))*COS(RADIANS(F306))))+360,360),"N/A")</f>
        <v>78.990250686818854</v>
      </c>
      <c r="AL306" s="10" t="str">
        <f>IF(AND(ISNUMBER(F306),ISNUMBER(G306),ISNUMBER(M306),ISNUMBER(N306)),ACOS(MIN(1,COS(RADIANS(90-F306))*COS(RADIANS(90-M306))+SIN(RADIANS(90-F306))*SIN(RADIANS(90-M306))*COS(RADIANS(G306-N306))))*6371,"N/A")</f>
        <v>N/A</v>
      </c>
      <c r="AM306" s="10" t="str">
        <f>IF(AND(ISNUMBER(F306),ISNUMBER(G306),ISNUMBER(M306),ISNUMBER(N306)),MOD(DEGREES(ATAN2(COS(RADIANS(M306))*SIN(RADIANS(F306))-SIN(RADIANS(M306))*COS(RADIANS(F306))*COS(RADIANS(G306-N306)),SIN(RADIANS(G306-N306))*COS(RADIANS(F306))))+360,360),"N/A")</f>
        <v>N/A</v>
      </c>
      <c r="AN306" s="2"/>
      <c r="AO306" s="2"/>
    </row>
    <row r="307" spans="1:41" x14ac:dyDescent="0.2">
      <c r="A307" s="4" t="s">
        <v>457</v>
      </c>
      <c r="B307" s="4" t="s">
        <v>115</v>
      </c>
      <c r="C307" s="5">
        <v>602</v>
      </c>
      <c r="D307" s="4" t="s">
        <v>70</v>
      </c>
      <c r="E307" s="4" t="s">
        <v>71</v>
      </c>
      <c r="F307" s="15">
        <v>41.283299999999997</v>
      </c>
      <c r="G307" s="15">
        <v>17.616700000000002</v>
      </c>
      <c r="H307" s="16">
        <v>-1010</v>
      </c>
      <c r="I307" s="4" t="s">
        <v>333</v>
      </c>
      <c r="J307" s="4" t="s">
        <v>15</v>
      </c>
      <c r="K307" s="6">
        <v>40.826999999999998</v>
      </c>
      <c r="L307" s="6">
        <v>14.138999999999999</v>
      </c>
      <c r="M307" s="5" t="s">
        <v>340</v>
      </c>
      <c r="N307" s="5" t="s">
        <v>340</v>
      </c>
      <c r="O307" s="4" t="s">
        <v>926</v>
      </c>
      <c r="P307" s="5">
        <v>31</v>
      </c>
      <c r="Q307" s="5">
        <v>9999</v>
      </c>
      <c r="R307" s="4" t="s">
        <v>41</v>
      </c>
      <c r="S307" s="4" t="s">
        <v>458</v>
      </c>
      <c r="T307" s="7">
        <v>14670</v>
      </c>
      <c r="U307" s="7">
        <v>14967</v>
      </c>
      <c r="V307" s="7">
        <v>15227</v>
      </c>
      <c r="W307" s="15" t="s">
        <v>1354</v>
      </c>
      <c r="X307" s="21" t="s">
        <v>1050</v>
      </c>
      <c r="Y307" s="7">
        <v>12870</v>
      </c>
      <c r="Z307" s="7">
        <v>100</v>
      </c>
      <c r="AA307" s="7" t="s">
        <v>340</v>
      </c>
      <c r="AB307" s="7" t="s">
        <v>340</v>
      </c>
      <c r="AC307" s="7">
        <v>14560</v>
      </c>
      <c r="AD307" s="7">
        <v>730</v>
      </c>
      <c r="AE307" s="7">
        <v>14967</v>
      </c>
      <c r="AF307" s="7" t="s">
        <v>950</v>
      </c>
      <c r="AG307" s="7" t="s">
        <v>340</v>
      </c>
      <c r="AH307" s="5">
        <v>1</v>
      </c>
      <c r="AI307" s="5">
        <v>1</v>
      </c>
      <c r="AJ307" s="9">
        <f>IF(AND(ISNUMBER(F307),ISNUMBER(G307),ISNUMBER(K307),ISNUMBER(L307)),ACOS(MIN(1,COS(RADIANS(90-F307))*COS(RADIANS(90-K307))+SIN(RADIANS(90-F307))*SIN(RADIANS(90-K307))*COS(RADIANS(G307-L307))))*6371,"N/A")</f>
        <v>295.96354897512805</v>
      </c>
      <c r="AK307" s="10">
        <f>IF(AND(ISNUMBER(F307),ISNUMBER(G307),ISNUMBER(K307),ISNUMBER(L307)),MOD(DEGREES(ATAN2(COS(RADIANS(K307))*SIN(RADIANS(F307))-SIN(RADIANS(K307))*COS(RADIANS(F307))*COS(RADIANS(G307-L307)),SIN(RADIANS(G307-L307))*COS(RADIANS(F307))))+360,360),"N/A")</f>
        <v>78.990250686818854</v>
      </c>
      <c r="AL307" s="10" t="str">
        <f>IF(AND(ISNUMBER(F307),ISNUMBER(G307),ISNUMBER(M307),ISNUMBER(N307)),ACOS(MIN(1,COS(RADIANS(90-F307))*COS(RADIANS(90-M307))+SIN(RADIANS(90-F307))*SIN(RADIANS(90-M307))*COS(RADIANS(G307-N307))))*6371,"N/A")</f>
        <v>N/A</v>
      </c>
      <c r="AM307" s="10" t="str">
        <f>IF(AND(ISNUMBER(F307),ISNUMBER(G307),ISNUMBER(M307),ISNUMBER(N307)),MOD(DEGREES(ATAN2(COS(RADIANS(M307))*SIN(RADIANS(F307))-SIN(RADIANS(M307))*COS(RADIANS(F307))*COS(RADIANS(G307-N307)),SIN(RADIANS(G307-N307))*COS(RADIANS(F307))))+360,360),"N/A")</f>
        <v>N/A</v>
      </c>
      <c r="AN307" s="2"/>
      <c r="AO307" s="2"/>
    </row>
    <row r="308" spans="1:41" x14ac:dyDescent="0.2">
      <c r="A308" s="4" t="s">
        <v>461</v>
      </c>
      <c r="B308" s="4" t="s">
        <v>115</v>
      </c>
      <c r="C308" s="5">
        <v>602</v>
      </c>
      <c r="D308" s="4" t="s">
        <v>70</v>
      </c>
      <c r="E308" s="4" t="s">
        <v>71</v>
      </c>
      <c r="F308" s="15">
        <v>41.283299999999997</v>
      </c>
      <c r="G308" s="15">
        <v>17.616700000000002</v>
      </c>
      <c r="H308" s="16">
        <v>-1010</v>
      </c>
      <c r="I308" s="4" t="s">
        <v>333</v>
      </c>
      <c r="J308" s="4" t="s">
        <v>42</v>
      </c>
      <c r="K308" s="6">
        <v>37.747999999999998</v>
      </c>
      <c r="L308" s="6">
        <v>14.999000000000001</v>
      </c>
      <c r="M308" s="5" t="s">
        <v>340</v>
      </c>
      <c r="N308" s="5" t="s">
        <v>340</v>
      </c>
      <c r="O308" s="4" t="s">
        <v>874</v>
      </c>
      <c r="P308" s="5">
        <v>11</v>
      </c>
      <c r="Q308" s="5">
        <v>9999</v>
      </c>
      <c r="R308" s="4" t="s">
        <v>41</v>
      </c>
      <c r="S308" s="4" t="s">
        <v>1121</v>
      </c>
      <c r="T308" s="7">
        <v>17048</v>
      </c>
      <c r="U308" s="7">
        <v>17294</v>
      </c>
      <c r="V308" s="7">
        <v>17717</v>
      </c>
      <c r="W308" s="15" t="s">
        <v>934</v>
      </c>
      <c r="X308" s="15" t="s">
        <v>1365</v>
      </c>
      <c r="Y308" s="7">
        <v>14650</v>
      </c>
      <c r="Z308" s="7">
        <v>90</v>
      </c>
      <c r="AA308" s="7" t="s">
        <v>340</v>
      </c>
      <c r="AB308" s="7" t="s">
        <v>340</v>
      </c>
      <c r="AC308" s="7">
        <v>16440</v>
      </c>
      <c r="AD308" s="7">
        <v>820</v>
      </c>
      <c r="AE308" s="7">
        <v>17304</v>
      </c>
      <c r="AF308" s="7">
        <v>152</v>
      </c>
      <c r="AG308" s="7" t="s">
        <v>340</v>
      </c>
      <c r="AH308" s="5">
        <v>1</v>
      </c>
      <c r="AI308" s="5">
        <v>1</v>
      </c>
      <c r="AJ308" s="9">
        <f>IF(AND(ISNUMBER(F308),ISNUMBER(G308),ISNUMBER(K308),ISNUMBER(L308)),ACOS(MIN(1,COS(RADIANS(90-F308))*COS(RADIANS(90-K308))+SIN(RADIANS(90-F308))*SIN(RADIANS(90-K308))*COS(RADIANS(G308-L308))))*6371,"N/A")</f>
        <v>452.66317134416306</v>
      </c>
      <c r="AK308" s="10">
        <f>IF(AND(ISNUMBER(F308),ISNUMBER(G308),ISNUMBER(K308),ISNUMBER(L308)),MOD(DEGREES(ATAN2(COS(RADIANS(K308))*SIN(RADIANS(F308))-SIN(RADIANS(K308))*COS(RADIANS(F308))*COS(RADIANS(G308-L308)),SIN(RADIANS(G308-L308))*COS(RADIANS(F308))))+360,360),"N/A")</f>
        <v>28.9107017563108</v>
      </c>
      <c r="AL308" s="10" t="str">
        <f>IF(AND(ISNUMBER(F308),ISNUMBER(G308),ISNUMBER(M308),ISNUMBER(N308)),ACOS(MIN(1,COS(RADIANS(90-F308))*COS(RADIANS(90-M308))+SIN(RADIANS(90-F308))*SIN(RADIANS(90-M308))*COS(RADIANS(G308-N308))))*6371,"N/A")</f>
        <v>N/A</v>
      </c>
      <c r="AM308" s="10" t="str">
        <f>IF(AND(ISNUMBER(F308),ISNUMBER(G308),ISNUMBER(M308),ISNUMBER(N308)),MOD(DEGREES(ATAN2(COS(RADIANS(M308))*SIN(RADIANS(F308))-SIN(RADIANS(M308))*COS(RADIANS(F308))*COS(RADIANS(G308-N308)),SIN(RADIANS(G308-N308))*COS(RADIANS(F308))))+360,360),"N/A")</f>
        <v>N/A</v>
      </c>
      <c r="AN308" s="2"/>
      <c r="AO308" s="2"/>
    </row>
    <row r="309" spans="1:41" x14ac:dyDescent="0.2">
      <c r="A309" s="4" t="s">
        <v>451</v>
      </c>
      <c r="B309" s="4" t="s">
        <v>115</v>
      </c>
      <c r="C309" s="5">
        <v>602</v>
      </c>
      <c r="D309" s="4" t="s">
        <v>70</v>
      </c>
      <c r="E309" s="4" t="s">
        <v>71</v>
      </c>
      <c r="F309" s="15">
        <v>41.283299999999997</v>
      </c>
      <c r="G309" s="15">
        <v>17.616700000000002</v>
      </c>
      <c r="H309" s="16">
        <v>-1010</v>
      </c>
      <c r="I309" s="4" t="s">
        <v>333</v>
      </c>
      <c r="J309" s="4" t="s">
        <v>53</v>
      </c>
      <c r="K309" s="6">
        <v>38.49</v>
      </c>
      <c r="L309" s="6">
        <v>14.933</v>
      </c>
      <c r="M309" s="5" t="s">
        <v>340</v>
      </c>
      <c r="N309" s="5" t="s">
        <v>340</v>
      </c>
      <c r="O309" s="4" t="s">
        <v>444</v>
      </c>
      <c r="P309" s="5">
        <v>32</v>
      </c>
      <c r="Q309" s="5">
        <v>9999</v>
      </c>
      <c r="R309" s="4" t="s">
        <v>41</v>
      </c>
      <c r="S309" s="4" t="s">
        <v>1121</v>
      </c>
      <c r="T309" s="7">
        <v>7839</v>
      </c>
      <c r="U309" s="7">
        <v>8064</v>
      </c>
      <c r="V309" s="7">
        <v>8288</v>
      </c>
      <c r="W309" s="15" t="s">
        <v>1347</v>
      </c>
      <c r="X309" s="15" t="s">
        <v>1363</v>
      </c>
      <c r="Y309" s="7">
        <v>7770</v>
      </c>
      <c r="Z309" s="7">
        <v>70</v>
      </c>
      <c r="AA309" s="7" t="s">
        <v>340</v>
      </c>
      <c r="AB309" s="7" t="s">
        <v>340</v>
      </c>
      <c r="AC309" s="7" t="s">
        <v>340</v>
      </c>
      <c r="AD309" s="7" t="s">
        <v>340</v>
      </c>
      <c r="AE309" s="7" t="s">
        <v>340</v>
      </c>
      <c r="AF309" s="7" t="s">
        <v>340</v>
      </c>
      <c r="AG309" s="7" t="s">
        <v>340</v>
      </c>
      <c r="AH309" s="5">
        <v>1</v>
      </c>
      <c r="AI309" s="5">
        <v>1</v>
      </c>
      <c r="AJ309" s="9">
        <f>IF(AND(ISNUMBER(F309),ISNUMBER(G309),ISNUMBER(K309),ISNUMBER(L309)),ACOS(MIN(1,COS(RADIANS(90-F309))*COS(RADIANS(90-K309))+SIN(RADIANS(90-F309))*SIN(RADIANS(90-K309))*COS(RADIANS(G309-L309))))*6371,"N/A")</f>
        <v>385.8333238608339</v>
      </c>
      <c r="AK309" s="10">
        <f>IF(AND(ISNUMBER(F309),ISNUMBER(G309),ISNUMBER(K309),ISNUMBER(L309)),MOD(DEGREES(ATAN2(COS(RADIANS(K309))*SIN(RADIANS(F309))-SIN(RADIANS(K309))*COS(RADIANS(F309))*COS(RADIANS(G309-L309)),SIN(RADIANS(G309-L309))*COS(RADIANS(F309))))+360,360),"N/A")</f>
        <v>35.544800931919781</v>
      </c>
      <c r="AL309" s="10" t="str">
        <f>IF(AND(ISNUMBER(F309),ISNUMBER(G309),ISNUMBER(M309),ISNUMBER(N309)),ACOS(MIN(1,COS(RADIANS(90-F309))*COS(RADIANS(90-M309))+SIN(RADIANS(90-F309))*SIN(RADIANS(90-M309))*COS(RADIANS(G309-N309))))*6371,"N/A")</f>
        <v>N/A</v>
      </c>
      <c r="AM309" s="10" t="str">
        <f>IF(AND(ISNUMBER(F309),ISNUMBER(G309),ISNUMBER(M309),ISNUMBER(N309)),MOD(DEGREES(ATAN2(COS(RADIANS(M309))*SIN(RADIANS(F309))-SIN(RADIANS(M309))*COS(RADIANS(F309))*COS(RADIANS(G309-N309)),SIN(RADIANS(G309-N309))*COS(RADIANS(F309))))+360,360),"N/A")</f>
        <v>N/A</v>
      </c>
      <c r="AN309" s="2"/>
      <c r="AO309" s="2"/>
    </row>
    <row r="310" spans="1:41" x14ac:dyDescent="0.2">
      <c r="A310" s="4" t="s">
        <v>453</v>
      </c>
      <c r="B310" s="4" t="s">
        <v>115</v>
      </c>
      <c r="C310" s="5">
        <v>602</v>
      </c>
      <c r="D310" s="4" t="s">
        <v>70</v>
      </c>
      <c r="E310" s="4" t="s">
        <v>71</v>
      </c>
      <c r="F310" s="15">
        <v>41.283299999999997</v>
      </c>
      <c r="G310" s="15">
        <v>17.616700000000002</v>
      </c>
      <c r="H310" s="16">
        <v>-1010</v>
      </c>
      <c r="I310" s="4" t="s">
        <v>333</v>
      </c>
      <c r="J310" s="4" t="s">
        <v>442</v>
      </c>
      <c r="K310" s="6">
        <v>39.479999999999997</v>
      </c>
      <c r="L310" s="6">
        <v>14.83</v>
      </c>
      <c r="M310" s="5" t="s">
        <v>340</v>
      </c>
      <c r="N310" s="5" t="s">
        <v>340</v>
      </c>
      <c r="O310" s="4" t="s">
        <v>443</v>
      </c>
      <c r="P310" s="5" t="s">
        <v>454</v>
      </c>
      <c r="Q310" s="5">
        <v>9999</v>
      </c>
      <c r="R310" s="4" t="s">
        <v>41</v>
      </c>
      <c r="S310" s="4" t="s">
        <v>1137</v>
      </c>
      <c r="T310" s="7">
        <v>10550</v>
      </c>
      <c r="U310" s="7">
        <v>10863</v>
      </c>
      <c r="V310" s="7">
        <v>11175</v>
      </c>
      <c r="W310" s="15" t="s">
        <v>1347</v>
      </c>
      <c r="X310" s="15" t="s">
        <v>1363</v>
      </c>
      <c r="Y310" s="7">
        <v>9990</v>
      </c>
      <c r="Z310" s="7">
        <v>90</v>
      </c>
      <c r="AA310" s="7" t="s">
        <v>340</v>
      </c>
      <c r="AB310" s="7" t="s">
        <v>340</v>
      </c>
      <c r="AC310" s="7" t="s">
        <v>340</v>
      </c>
      <c r="AD310" s="7" t="s">
        <v>340</v>
      </c>
      <c r="AE310" s="7">
        <v>22101</v>
      </c>
      <c r="AF310" s="7">
        <v>308</v>
      </c>
      <c r="AG310" s="7" t="s">
        <v>340</v>
      </c>
      <c r="AH310" s="5">
        <v>1</v>
      </c>
      <c r="AI310" s="5">
        <v>2</v>
      </c>
      <c r="AJ310" s="9">
        <f>IF(AND(ISNUMBER(F310),ISNUMBER(G310),ISNUMBER(K310),ISNUMBER(L310)),ACOS(MIN(1,COS(RADIANS(90-F310))*COS(RADIANS(90-K310))+SIN(RADIANS(90-F310))*SIN(RADIANS(90-K310))*COS(RADIANS(G310-L310))))*6371,"N/A")</f>
        <v>309.68209434321597</v>
      </c>
      <c r="AK310" s="10">
        <f>IF(AND(ISNUMBER(F310),ISNUMBER(G310),ISNUMBER(K310),ISNUMBER(L310)),MOD(DEGREES(ATAN2(COS(RADIANS(K310))*SIN(RADIANS(F310))-SIN(RADIANS(K310))*COS(RADIANS(F310))*COS(RADIANS(G310-L310)),SIN(RADIANS(G310-L310))*COS(RADIANS(F310))))+360,360),"N/A")</f>
        <v>48.755627379757698</v>
      </c>
      <c r="AL310" s="10" t="str">
        <f>IF(AND(ISNUMBER(F310),ISNUMBER(G310),ISNUMBER(M310),ISNUMBER(N310)),ACOS(MIN(1,COS(RADIANS(90-F310))*COS(RADIANS(90-M310))+SIN(RADIANS(90-F310))*SIN(RADIANS(90-M310))*COS(RADIANS(G310-N310))))*6371,"N/A")</f>
        <v>N/A</v>
      </c>
      <c r="AM310" s="10" t="str">
        <f>IF(AND(ISNUMBER(F310),ISNUMBER(G310),ISNUMBER(M310),ISNUMBER(N310)),MOD(DEGREES(ATAN2(COS(RADIANS(M310))*SIN(RADIANS(F310))-SIN(RADIANS(M310))*COS(RADIANS(F310))*COS(RADIANS(G310-N310)),SIN(RADIANS(G310-N310))*COS(RADIANS(F310))))+360,360),"N/A")</f>
        <v>N/A</v>
      </c>
      <c r="AN310" s="2"/>
      <c r="AO310" s="2"/>
    </row>
    <row r="311" spans="1:41" x14ac:dyDescent="0.2">
      <c r="A311" s="4" t="s">
        <v>446</v>
      </c>
      <c r="B311" s="4" t="s">
        <v>115</v>
      </c>
      <c r="C311" s="5">
        <v>602</v>
      </c>
      <c r="D311" s="4" t="s">
        <v>70</v>
      </c>
      <c r="E311" s="4" t="s">
        <v>71</v>
      </c>
      <c r="F311" s="15">
        <v>41.283299999999997</v>
      </c>
      <c r="G311" s="15">
        <v>17.616700000000002</v>
      </c>
      <c r="H311" s="16">
        <v>-1010</v>
      </c>
      <c r="I311" s="4" t="s">
        <v>333</v>
      </c>
      <c r="J311" s="4" t="s">
        <v>16</v>
      </c>
      <c r="K311" s="6">
        <v>40.820999999999998</v>
      </c>
      <c r="L311" s="6">
        <v>14.426</v>
      </c>
      <c r="M311" s="5" t="s">
        <v>340</v>
      </c>
      <c r="N311" s="5" t="s">
        <v>340</v>
      </c>
      <c r="O311" s="4" t="s">
        <v>1069</v>
      </c>
      <c r="P311" s="5">
        <v>20</v>
      </c>
      <c r="Q311" s="5">
        <v>9999</v>
      </c>
      <c r="R311" s="4" t="s">
        <v>41</v>
      </c>
      <c r="S311" s="4" t="s">
        <v>1121</v>
      </c>
      <c r="T311" s="12">
        <v>18978</v>
      </c>
      <c r="U311" s="12">
        <v>19162</v>
      </c>
      <c r="V311" s="12">
        <v>19352</v>
      </c>
      <c r="W311" s="21" t="s">
        <v>933</v>
      </c>
      <c r="X311" s="21" t="s">
        <v>1359</v>
      </c>
      <c r="Y311" s="7" t="s">
        <v>340</v>
      </c>
      <c r="Z311" s="7" t="s">
        <v>340</v>
      </c>
      <c r="AA311" s="7" t="s">
        <v>340</v>
      </c>
      <c r="AB311" s="7" t="s">
        <v>340</v>
      </c>
      <c r="AC311" s="7">
        <v>17560</v>
      </c>
      <c r="AD311" s="7">
        <v>880</v>
      </c>
      <c r="AE311" s="7">
        <v>19164</v>
      </c>
      <c r="AF311" s="7">
        <v>92</v>
      </c>
      <c r="AG311" s="7" t="s">
        <v>340</v>
      </c>
      <c r="AH311" s="5">
        <v>1</v>
      </c>
      <c r="AI311" s="5">
        <v>1</v>
      </c>
      <c r="AJ311" s="9">
        <f>IF(AND(ISNUMBER(F311),ISNUMBER(G311),ISNUMBER(K311),ISNUMBER(L311)),ACOS(MIN(1,COS(RADIANS(90-F311))*COS(RADIANS(90-K311))+SIN(RADIANS(90-F311))*SIN(RADIANS(90-K311))*COS(RADIANS(G311-L311))))*6371,"N/A")</f>
        <v>272.42778612125261</v>
      </c>
      <c r="AK311" s="10">
        <f>IF(AND(ISNUMBER(F311),ISNUMBER(G311),ISNUMBER(K311),ISNUMBER(L311)),MOD(DEGREES(ATAN2(COS(RADIANS(K311))*SIN(RADIANS(F311))-SIN(RADIANS(K311))*COS(RADIANS(F311))*COS(RADIANS(G311-L311)),SIN(RADIANS(G311-L311))*COS(RADIANS(F311))))+360,360),"N/A")</f>
        <v>78.078995522990851</v>
      </c>
      <c r="AL311" s="10" t="str">
        <f>IF(AND(ISNUMBER(F311),ISNUMBER(G311),ISNUMBER(M311),ISNUMBER(N311)),ACOS(MIN(1,COS(RADIANS(90-F311))*COS(RADIANS(90-M311))+SIN(RADIANS(90-F311))*SIN(RADIANS(90-M311))*COS(RADIANS(G311-N311))))*6371,"N/A")</f>
        <v>N/A</v>
      </c>
      <c r="AM311" s="10" t="str">
        <f>IF(AND(ISNUMBER(F311),ISNUMBER(G311),ISNUMBER(M311),ISNUMBER(N311)),MOD(DEGREES(ATAN2(COS(RADIANS(M311))*SIN(RADIANS(F311))-SIN(RADIANS(M311))*COS(RADIANS(F311))*COS(RADIANS(G311-N311)),SIN(RADIANS(G311-N311))*COS(RADIANS(F311))))+360,360),"N/A")</f>
        <v>N/A</v>
      </c>
      <c r="AN311" s="2"/>
      <c r="AO311" s="2"/>
    </row>
    <row r="312" spans="1:41" x14ac:dyDescent="0.2">
      <c r="A312" s="4" t="s">
        <v>462</v>
      </c>
      <c r="B312" s="4" t="s">
        <v>115</v>
      </c>
      <c r="C312" s="5">
        <v>602</v>
      </c>
      <c r="D312" s="4" t="s">
        <v>70</v>
      </c>
      <c r="E312" s="4" t="s">
        <v>71</v>
      </c>
      <c r="F312" s="15">
        <v>41.283299999999997</v>
      </c>
      <c r="G312" s="15">
        <v>17.616700000000002</v>
      </c>
      <c r="H312" s="16">
        <v>-1010</v>
      </c>
      <c r="I312" s="4" t="s">
        <v>333</v>
      </c>
      <c r="J312" s="4" t="s">
        <v>16</v>
      </c>
      <c r="K312" s="6">
        <v>40.820999999999998</v>
      </c>
      <c r="L312" s="6">
        <v>14.426</v>
      </c>
      <c r="M312" s="5" t="s">
        <v>340</v>
      </c>
      <c r="N312" s="5" t="s">
        <v>340</v>
      </c>
      <c r="O312" s="4" t="s">
        <v>295</v>
      </c>
      <c r="P312" s="5">
        <v>18</v>
      </c>
      <c r="Q312" s="5">
        <v>9999</v>
      </c>
      <c r="R312" s="4" t="s">
        <v>41</v>
      </c>
      <c r="S312" s="4" t="s">
        <v>1121</v>
      </c>
      <c r="T312" s="7">
        <v>21147</v>
      </c>
      <c r="U312" s="7">
        <v>21840</v>
      </c>
      <c r="V312" s="7">
        <v>22339</v>
      </c>
      <c r="W312" s="15" t="s">
        <v>1329</v>
      </c>
      <c r="X312" s="15" t="s">
        <v>1050</v>
      </c>
      <c r="Y312" s="7">
        <v>18220</v>
      </c>
      <c r="Z312" s="7">
        <v>140</v>
      </c>
      <c r="AA312" s="7" t="s">
        <v>340</v>
      </c>
      <c r="AB312" s="7" t="s">
        <v>340</v>
      </c>
      <c r="AC312" s="7">
        <v>19280</v>
      </c>
      <c r="AD312" s="7">
        <v>960</v>
      </c>
      <c r="AE312" s="7">
        <v>21840</v>
      </c>
      <c r="AF312" s="7" t="s">
        <v>938</v>
      </c>
      <c r="AG312" s="7" t="s">
        <v>340</v>
      </c>
      <c r="AH312" s="5">
        <v>1</v>
      </c>
      <c r="AI312" s="5">
        <v>1</v>
      </c>
      <c r="AJ312" s="9">
        <f>IF(AND(ISNUMBER(F312),ISNUMBER(G312),ISNUMBER(K312),ISNUMBER(L312)),ACOS(MIN(1,COS(RADIANS(90-F312))*COS(RADIANS(90-K312))+SIN(RADIANS(90-F312))*SIN(RADIANS(90-K312))*COS(RADIANS(G312-L312))))*6371,"N/A")</f>
        <v>272.42778612125261</v>
      </c>
      <c r="AK312" s="10">
        <f>IF(AND(ISNUMBER(F312),ISNUMBER(G312),ISNUMBER(K312),ISNUMBER(L312)),MOD(DEGREES(ATAN2(COS(RADIANS(K312))*SIN(RADIANS(F312))-SIN(RADIANS(K312))*COS(RADIANS(F312))*COS(RADIANS(G312-L312)),SIN(RADIANS(G312-L312))*COS(RADIANS(F312))))+360,360),"N/A")</f>
        <v>78.078995522990851</v>
      </c>
      <c r="AL312" s="10" t="str">
        <f>IF(AND(ISNUMBER(F312),ISNUMBER(G312),ISNUMBER(M312),ISNUMBER(N312)),ACOS(MIN(1,COS(RADIANS(90-F312))*COS(RADIANS(90-M312))+SIN(RADIANS(90-F312))*SIN(RADIANS(90-M312))*COS(RADIANS(G312-N312))))*6371,"N/A")</f>
        <v>N/A</v>
      </c>
      <c r="AM312" s="10" t="str">
        <f>IF(AND(ISNUMBER(F312),ISNUMBER(G312),ISNUMBER(M312),ISNUMBER(N312)),MOD(DEGREES(ATAN2(COS(RADIANS(M312))*SIN(RADIANS(F312))-SIN(RADIANS(M312))*COS(RADIANS(F312))*COS(RADIANS(G312-N312)),SIN(RADIANS(G312-N312))*COS(RADIANS(F312))))+360,360),"N/A")</f>
        <v>N/A</v>
      </c>
      <c r="AN312" s="2"/>
      <c r="AO312" s="2"/>
    </row>
    <row r="313" spans="1:41" x14ac:dyDescent="0.2">
      <c r="A313" s="4">
        <v>240</v>
      </c>
      <c r="B313" s="4" t="s">
        <v>115</v>
      </c>
      <c r="C313" s="5">
        <v>602</v>
      </c>
      <c r="D313" s="4" t="s">
        <v>70</v>
      </c>
      <c r="E313" s="4" t="s">
        <v>71</v>
      </c>
      <c r="F313" s="15">
        <v>41.283299999999997</v>
      </c>
      <c r="G313" s="15">
        <v>17.616700000000002</v>
      </c>
      <c r="H313" s="16">
        <v>-1010</v>
      </c>
      <c r="I313" s="4" t="s">
        <v>333</v>
      </c>
      <c r="J313" s="4" t="s">
        <v>14</v>
      </c>
      <c r="K313" s="6" t="s">
        <v>340</v>
      </c>
      <c r="L313" s="6" t="s">
        <v>340</v>
      </c>
      <c r="M313" s="5" t="s">
        <v>340</v>
      </c>
      <c r="N313" s="5" t="s">
        <v>340</v>
      </c>
      <c r="O313" s="4" t="s">
        <v>14</v>
      </c>
      <c r="P313" s="5" t="s">
        <v>452</v>
      </c>
      <c r="Q313" s="5">
        <v>9999</v>
      </c>
      <c r="R313" s="4" t="s">
        <v>41</v>
      </c>
      <c r="S313" s="4" t="s">
        <v>450</v>
      </c>
      <c r="T313" s="7">
        <v>7580</v>
      </c>
      <c r="U313" s="7">
        <v>7800</v>
      </c>
      <c r="V313" s="7">
        <v>8020</v>
      </c>
      <c r="W313" s="15" t="s">
        <v>1348</v>
      </c>
      <c r="X313" s="15" t="s">
        <v>1363</v>
      </c>
      <c r="Y313" s="7">
        <v>7530</v>
      </c>
      <c r="Z313" s="7">
        <v>80</v>
      </c>
      <c r="AA313" s="7" t="s">
        <v>340</v>
      </c>
      <c r="AB313" s="7" t="s">
        <v>340</v>
      </c>
      <c r="AC313" s="7" t="s">
        <v>340</v>
      </c>
      <c r="AD313" s="7" t="s">
        <v>340</v>
      </c>
      <c r="AE313" s="7" t="s">
        <v>340</v>
      </c>
      <c r="AF313" s="7" t="s">
        <v>340</v>
      </c>
      <c r="AG313" s="7" t="s">
        <v>340</v>
      </c>
      <c r="AH313" s="5">
        <v>1</v>
      </c>
      <c r="AI313" s="5">
        <v>2</v>
      </c>
      <c r="AJ313" s="9" t="str">
        <f>IF(AND(ISNUMBER(F313),ISNUMBER(G313),ISNUMBER(K313),ISNUMBER(L313)),ACOS(MIN(1,COS(RADIANS(90-F313))*COS(RADIANS(90-K313))+SIN(RADIANS(90-F313))*SIN(RADIANS(90-K313))*COS(RADIANS(G313-L313))))*6371,"N/A")</f>
        <v>N/A</v>
      </c>
      <c r="AK313" s="10" t="str">
        <f>IF(AND(ISNUMBER(F313),ISNUMBER(G313),ISNUMBER(K313),ISNUMBER(L313)),MOD(DEGREES(ATAN2(COS(RADIANS(K313))*SIN(RADIANS(F313))-SIN(RADIANS(K313))*COS(RADIANS(F313))*COS(RADIANS(G313-L313)),SIN(RADIANS(G313-L313))*COS(RADIANS(F313))))+360,360),"N/A")</f>
        <v>N/A</v>
      </c>
      <c r="AL313" s="10" t="str">
        <f>IF(AND(ISNUMBER(F313),ISNUMBER(G313),ISNUMBER(M313),ISNUMBER(N313)),ACOS(MIN(1,COS(RADIANS(90-F313))*COS(RADIANS(90-M313))+SIN(RADIANS(90-F313))*SIN(RADIANS(90-M313))*COS(RADIANS(G313-N313))))*6371,"N/A")</f>
        <v>N/A</v>
      </c>
      <c r="AM313" s="10" t="str">
        <f>IF(AND(ISNUMBER(F313),ISNUMBER(G313),ISNUMBER(M313),ISNUMBER(N313)),MOD(DEGREES(ATAN2(COS(RADIANS(M313))*SIN(RADIANS(F313))-SIN(RADIANS(M313))*COS(RADIANS(F313))*COS(RADIANS(G313-N313)),SIN(RADIANS(G313-N313))*COS(RADIANS(F313))))+360,360),"N/A")</f>
        <v>N/A</v>
      </c>
      <c r="AN313" s="2"/>
      <c r="AO313" s="2"/>
    </row>
    <row r="314" spans="1:41" x14ac:dyDescent="0.2">
      <c r="A314" s="4" t="s">
        <v>240</v>
      </c>
      <c r="B314" s="4" t="s">
        <v>65</v>
      </c>
      <c r="C314" s="5">
        <v>722</v>
      </c>
      <c r="D314" s="4" t="s">
        <v>602</v>
      </c>
      <c r="E314" s="4" t="s">
        <v>66</v>
      </c>
      <c r="F314" s="15">
        <v>38.3142</v>
      </c>
      <c r="G314" s="15">
        <v>28.027799999999999</v>
      </c>
      <c r="H314" s="16">
        <v>1050</v>
      </c>
      <c r="I314" s="4" t="s">
        <v>209</v>
      </c>
      <c r="J314" s="4" t="s">
        <v>241</v>
      </c>
      <c r="K314" s="6">
        <v>36.404000000000003</v>
      </c>
      <c r="L314" s="6">
        <v>25.396000000000001</v>
      </c>
      <c r="M314" s="5" t="s">
        <v>340</v>
      </c>
      <c r="N314" s="5" t="s">
        <v>340</v>
      </c>
      <c r="O314" s="4" t="s">
        <v>387</v>
      </c>
      <c r="P314" s="5">
        <v>16</v>
      </c>
      <c r="Q314" s="5">
        <v>9999</v>
      </c>
      <c r="R314" s="4" t="s">
        <v>239</v>
      </c>
      <c r="S314" s="4" t="s">
        <v>1121</v>
      </c>
      <c r="T314" s="7">
        <v>3510</v>
      </c>
      <c r="U314" s="7">
        <v>3535</v>
      </c>
      <c r="V314" s="7">
        <v>3559</v>
      </c>
      <c r="W314" s="21" t="s">
        <v>935</v>
      </c>
      <c r="X314" s="21" t="s">
        <v>852</v>
      </c>
      <c r="Y314" s="7" t="s">
        <v>340</v>
      </c>
      <c r="Z314" s="7" t="s">
        <v>340</v>
      </c>
      <c r="AA314" s="7" t="s">
        <v>340</v>
      </c>
      <c r="AB314" s="7" t="s">
        <v>340</v>
      </c>
      <c r="AC314" s="7" t="s">
        <v>340</v>
      </c>
      <c r="AD314" s="7" t="s">
        <v>340</v>
      </c>
      <c r="AE314" s="7">
        <v>3535</v>
      </c>
      <c r="AF314" s="7">
        <v>25</v>
      </c>
      <c r="AG314" s="7" t="s">
        <v>340</v>
      </c>
      <c r="AH314" s="5">
        <v>1</v>
      </c>
      <c r="AI314" s="5">
        <v>1</v>
      </c>
      <c r="AJ314" s="9">
        <f>IF(AND(ISNUMBER(F314),ISNUMBER(G314),ISNUMBER(K314),ISNUMBER(L314)),ACOS(MIN(1,COS(RADIANS(90-F314))*COS(RADIANS(90-K314))+SIN(RADIANS(90-F314))*SIN(RADIANS(90-K314))*COS(RADIANS(G314-L314))))*6371,"N/A")</f>
        <v>314.96701333199786</v>
      </c>
      <c r="AK314" s="10">
        <f>IF(AND(ISNUMBER(F314),ISNUMBER(G314),ISNUMBER(K314),ISNUMBER(L314)),MOD(DEGREES(ATAN2(COS(RADIANS(K314))*SIN(RADIANS(F314))-SIN(RADIANS(K314))*COS(RADIANS(F314))*COS(RADIANS(G314-L314)),SIN(RADIANS(G314-L314))*COS(RADIANS(F314))))+360,360),"N/A")</f>
        <v>46.806888994843973</v>
      </c>
      <c r="AL314" s="10" t="str">
        <f>IF(AND(ISNUMBER(F314),ISNUMBER(G314),ISNUMBER(M314),ISNUMBER(N314)),ACOS(MIN(1,COS(RADIANS(90-F314))*COS(RADIANS(90-M314))+SIN(RADIANS(90-F314))*SIN(RADIANS(90-M314))*COS(RADIANS(G314-N314))))*6371,"N/A")</f>
        <v>N/A</v>
      </c>
      <c r="AM314" s="10" t="str">
        <f>IF(AND(ISNUMBER(F314),ISNUMBER(G314),ISNUMBER(M314),ISNUMBER(N314)),MOD(DEGREES(ATAN2(COS(RADIANS(M314))*SIN(RADIANS(F314))-SIN(RADIANS(M314))*COS(RADIANS(F314))*COS(RADIANS(G314-N314)),SIN(RADIANS(G314-N314))*COS(RADIANS(F314))))+360,360),"N/A")</f>
        <v>N/A</v>
      </c>
      <c r="AN314" s="2"/>
      <c r="AO314" s="2"/>
    </row>
    <row r="315" spans="1:41" x14ac:dyDescent="0.2">
      <c r="A315" s="4" t="s">
        <v>417</v>
      </c>
      <c r="B315" s="4" t="s">
        <v>415</v>
      </c>
      <c r="C315" s="5">
        <v>951</v>
      </c>
      <c r="D315" s="4" t="s">
        <v>413</v>
      </c>
      <c r="E315" s="4" t="s">
        <v>414</v>
      </c>
      <c r="F315" s="15">
        <v>42.102400000000003</v>
      </c>
      <c r="G315" s="15">
        <v>19.4254</v>
      </c>
      <c r="H315" s="16">
        <v>5</v>
      </c>
      <c r="I315" s="4" t="s">
        <v>593</v>
      </c>
      <c r="J315" s="4" t="s">
        <v>15</v>
      </c>
      <c r="K315" s="6">
        <v>40.826999999999998</v>
      </c>
      <c r="L315" s="6">
        <v>14.138999999999999</v>
      </c>
      <c r="M315" s="5" t="s">
        <v>340</v>
      </c>
      <c r="N315" s="5" t="s">
        <v>340</v>
      </c>
      <c r="O315" s="4" t="s">
        <v>199</v>
      </c>
      <c r="P315" s="5">
        <v>14</v>
      </c>
      <c r="Q315" s="5" t="s">
        <v>340</v>
      </c>
      <c r="R315" s="4" t="s">
        <v>41</v>
      </c>
      <c r="S315" s="4" t="s">
        <v>1121</v>
      </c>
      <c r="T315" s="7">
        <v>4483</v>
      </c>
      <c r="U315" s="7">
        <v>4540</v>
      </c>
      <c r="V315" s="7">
        <v>4627</v>
      </c>
      <c r="W315" s="15" t="s">
        <v>928</v>
      </c>
      <c r="X315" s="21" t="s">
        <v>1357</v>
      </c>
      <c r="Y315" s="7" t="s">
        <v>340</v>
      </c>
      <c r="Z315" s="7" t="s">
        <v>340</v>
      </c>
      <c r="AA315" s="7" t="s">
        <v>340</v>
      </c>
      <c r="AB315" s="7" t="s">
        <v>340</v>
      </c>
      <c r="AC315" s="7">
        <v>5390</v>
      </c>
      <c r="AD315" s="7">
        <v>270</v>
      </c>
      <c r="AE315" s="7">
        <v>4546</v>
      </c>
      <c r="AF315" s="7">
        <v>36</v>
      </c>
      <c r="AG315" s="7" t="s">
        <v>340</v>
      </c>
      <c r="AH315" s="5">
        <v>1</v>
      </c>
      <c r="AI315" s="5">
        <v>1</v>
      </c>
      <c r="AJ315" s="9">
        <f>IF(AND(ISNUMBER(F315),ISNUMBER(G315),ISNUMBER(K315),ISNUMBER(L315)),ACOS(MIN(1,COS(RADIANS(90-F315))*COS(RADIANS(90-K315))+SIN(RADIANS(90-F315))*SIN(RADIANS(90-K315))*COS(RADIANS(G315-L315))))*6371,"N/A")</f>
        <v>462.66415356099174</v>
      </c>
      <c r="AK315" s="10">
        <f>IF(AND(ISNUMBER(F315),ISNUMBER(G315),ISNUMBER(K315),ISNUMBER(L315)),MOD(DEGREES(ATAN2(COS(RADIANS(K315))*SIN(RADIANS(F315))-SIN(RADIANS(K315))*COS(RADIANS(F315))*COS(RADIANS(G315-L315)),SIN(RADIANS(G315-L315))*COS(RADIANS(F315))))+360,360),"N/A")</f>
        <v>70.415016719312234</v>
      </c>
      <c r="AL315" s="10" t="str">
        <f>IF(AND(ISNUMBER(F315),ISNUMBER(G315),ISNUMBER(M315),ISNUMBER(N315)),ACOS(MIN(1,COS(RADIANS(90-F315))*COS(RADIANS(90-M315))+SIN(RADIANS(90-F315))*SIN(RADIANS(90-M315))*COS(RADIANS(G315-N315))))*6371,"N/A")</f>
        <v>N/A</v>
      </c>
      <c r="AM315" s="10" t="str">
        <f>IF(AND(ISNUMBER(F315),ISNUMBER(G315),ISNUMBER(M315),ISNUMBER(N315)),MOD(DEGREES(ATAN2(COS(RADIANS(M315))*SIN(RADIANS(F315))-SIN(RADIANS(M315))*COS(RADIANS(F315))*COS(RADIANS(G315-N315)),SIN(RADIANS(G315-N315))*COS(RADIANS(F315))))+360,360),"N/A")</f>
        <v>N/A</v>
      </c>
      <c r="AN315" s="2"/>
      <c r="AO315" s="2"/>
    </row>
    <row r="316" spans="1:41" x14ac:dyDescent="0.2">
      <c r="A316" s="4" t="s">
        <v>422</v>
      </c>
      <c r="B316" s="4" t="s">
        <v>416</v>
      </c>
      <c r="C316" s="5">
        <v>951</v>
      </c>
      <c r="D316" s="4" t="s">
        <v>413</v>
      </c>
      <c r="E316" s="4" t="s">
        <v>414</v>
      </c>
      <c r="F316" s="15">
        <v>42.102400000000003</v>
      </c>
      <c r="G316" s="15">
        <v>19.4254</v>
      </c>
      <c r="H316" s="16">
        <v>5</v>
      </c>
      <c r="I316" s="4" t="s">
        <v>593</v>
      </c>
      <c r="J316" s="4" t="s">
        <v>15</v>
      </c>
      <c r="K316" s="6">
        <v>40.826999999999998</v>
      </c>
      <c r="L316" s="6">
        <v>14.138999999999999</v>
      </c>
      <c r="M316" s="5" t="s">
        <v>340</v>
      </c>
      <c r="N316" s="5" t="s">
        <v>340</v>
      </c>
      <c r="O316" s="4" t="s">
        <v>199</v>
      </c>
      <c r="P316" s="5">
        <v>30</v>
      </c>
      <c r="Q316" s="5" t="s">
        <v>340</v>
      </c>
      <c r="R316" s="4" t="s">
        <v>41</v>
      </c>
      <c r="S316" s="4" t="s">
        <v>1138</v>
      </c>
      <c r="T316" s="7">
        <v>4483</v>
      </c>
      <c r="U316" s="7">
        <v>4540</v>
      </c>
      <c r="V316" s="7">
        <v>4627</v>
      </c>
      <c r="W316" s="15" t="s">
        <v>928</v>
      </c>
      <c r="X316" s="21" t="s">
        <v>1357</v>
      </c>
      <c r="Y316" s="7" t="s">
        <v>340</v>
      </c>
      <c r="Z316" s="7" t="s">
        <v>340</v>
      </c>
      <c r="AA316" s="7" t="s">
        <v>340</v>
      </c>
      <c r="AB316" s="7" t="s">
        <v>340</v>
      </c>
      <c r="AC316" s="7">
        <v>5390</v>
      </c>
      <c r="AD316" s="7">
        <v>270</v>
      </c>
      <c r="AE316" s="7">
        <v>4546</v>
      </c>
      <c r="AF316" s="7">
        <v>36</v>
      </c>
      <c r="AG316" s="7" t="s">
        <v>340</v>
      </c>
      <c r="AH316" s="5">
        <v>1</v>
      </c>
      <c r="AI316" s="5">
        <v>1</v>
      </c>
      <c r="AJ316" s="9">
        <f>IF(AND(ISNUMBER(F316),ISNUMBER(G316),ISNUMBER(K316),ISNUMBER(L316)),ACOS(MIN(1,COS(RADIANS(90-F316))*COS(RADIANS(90-K316))+SIN(RADIANS(90-F316))*SIN(RADIANS(90-K316))*COS(RADIANS(G316-L316))))*6371,"N/A")</f>
        <v>462.66415356099174</v>
      </c>
      <c r="AK316" s="10">
        <f>IF(AND(ISNUMBER(F316),ISNUMBER(G316),ISNUMBER(K316),ISNUMBER(L316)),MOD(DEGREES(ATAN2(COS(RADIANS(K316))*SIN(RADIANS(F316))-SIN(RADIANS(K316))*COS(RADIANS(F316))*COS(RADIANS(G316-L316)),SIN(RADIANS(G316-L316))*COS(RADIANS(F316))))+360,360),"N/A")</f>
        <v>70.415016719312234</v>
      </c>
      <c r="AL316" s="10" t="str">
        <f>IF(AND(ISNUMBER(F316),ISNUMBER(G316),ISNUMBER(M316),ISNUMBER(N316)),ACOS(MIN(1,COS(RADIANS(90-F316))*COS(RADIANS(90-M316))+SIN(RADIANS(90-F316))*SIN(RADIANS(90-M316))*COS(RADIANS(G316-N316))))*6371,"N/A")</f>
        <v>N/A</v>
      </c>
      <c r="AM316" s="10" t="str">
        <f>IF(AND(ISNUMBER(F316),ISNUMBER(G316),ISNUMBER(M316),ISNUMBER(N316)),MOD(DEGREES(ATAN2(COS(RADIANS(M316))*SIN(RADIANS(F316))-SIN(RADIANS(M316))*COS(RADIANS(F316))*COS(RADIANS(G316-N316)),SIN(RADIANS(G316-N316))*COS(RADIANS(F316))))+360,360),"N/A")</f>
        <v>N/A</v>
      </c>
      <c r="AN316" s="2"/>
      <c r="AO316" s="2"/>
    </row>
    <row r="317" spans="1:41" x14ac:dyDescent="0.2">
      <c r="A317" s="4" t="s">
        <v>884</v>
      </c>
      <c r="B317" s="4" t="s">
        <v>416</v>
      </c>
      <c r="C317" s="5">
        <v>951</v>
      </c>
      <c r="D317" s="4" t="s">
        <v>413</v>
      </c>
      <c r="E317" s="4" t="s">
        <v>414</v>
      </c>
      <c r="F317" s="15">
        <v>42.102400000000003</v>
      </c>
      <c r="G317" s="15">
        <v>19.4254</v>
      </c>
      <c r="H317" s="16">
        <v>5</v>
      </c>
      <c r="I317" s="4" t="s">
        <v>593</v>
      </c>
      <c r="J317" s="4" t="s">
        <v>15</v>
      </c>
      <c r="K317" s="6">
        <v>40.826999999999998</v>
      </c>
      <c r="L317" s="6">
        <v>14.138999999999999</v>
      </c>
      <c r="M317" s="5" t="s">
        <v>340</v>
      </c>
      <c r="N317" s="5" t="s">
        <v>340</v>
      </c>
      <c r="O317" s="4" t="s">
        <v>426</v>
      </c>
      <c r="P317" s="5" t="s">
        <v>885</v>
      </c>
      <c r="Q317" s="5" t="s">
        <v>340</v>
      </c>
      <c r="R317" s="4" t="s">
        <v>41</v>
      </c>
      <c r="S317" s="4" t="s">
        <v>886</v>
      </c>
      <c r="T317" s="7">
        <v>4000</v>
      </c>
      <c r="U317" s="7">
        <v>4185</v>
      </c>
      <c r="V317" s="7">
        <v>4370</v>
      </c>
      <c r="W317" s="15" t="s">
        <v>1114</v>
      </c>
      <c r="X317" s="15" t="s">
        <v>1357</v>
      </c>
      <c r="Y317" s="7" t="s">
        <v>340</v>
      </c>
      <c r="Z317" s="7" t="s">
        <v>340</v>
      </c>
      <c r="AA317" s="7" t="s">
        <v>340</v>
      </c>
      <c r="AB317" s="7" t="s">
        <v>340</v>
      </c>
      <c r="AC317" s="7" t="s">
        <v>340</v>
      </c>
      <c r="AD317" s="7" t="s">
        <v>340</v>
      </c>
      <c r="AE317" s="7">
        <v>4185</v>
      </c>
      <c r="AF317" s="7">
        <v>185</v>
      </c>
      <c r="AG317" s="7" t="s">
        <v>340</v>
      </c>
      <c r="AH317" s="5">
        <v>1</v>
      </c>
      <c r="AI317" s="5">
        <v>2</v>
      </c>
      <c r="AJ317" s="9">
        <f>IF(AND(ISNUMBER(F317),ISNUMBER(G317),ISNUMBER(K317),ISNUMBER(L317)),ACOS(MIN(1,COS(RADIANS(90-F317))*COS(RADIANS(90-K317))+SIN(RADIANS(90-F317))*SIN(RADIANS(90-K317))*COS(RADIANS(G317-L317))))*6371,"N/A")</f>
        <v>462.66415356099174</v>
      </c>
      <c r="AK317" s="10">
        <f>IF(AND(ISNUMBER(F317),ISNUMBER(G317),ISNUMBER(K317),ISNUMBER(L317)),MOD(DEGREES(ATAN2(COS(RADIANS(K317))*SIN(RADIANS(F317))-SIN(RADIANS(K317))*COS(RADIANS(F317))*COS(RADIANS(G317-L317)),SIN(RADIANS(G317-L317))*COS(RADIANS(F317))))+360,360),"N/A")</f>
        <v>70.415016719312234</v>
      </c>
      <c r="AL317" s="10" t="str">
        <f>IF(AND(ISNUMBER(F317),ISNUMBER(G317),ISNUMBER(M317),ISNUMBER(N317)),ACOS(MIN(1,COS(RADIANS(90-F317))*COS(RADIANS(90-M317))+SIN(RADIANS(90-F317))*SIN(RADIANS(90-M317))*COS(RADIANS(G317-N317))))*6371,"N/A")</f>
        <v>N/A</v>
      </c>
      <c r="AM317" s="10" t="str">
        <f>IF(AND(ISNUMBER(F317),ISNUMBER(G317),ISNUMBER(M317),ISNUMBER(N317)),MOD(DEGREES(ATAN2(COS(RADIANS(M317))*SIN(RADIANS(F317))-SIN(RADIANS(M317))*COS(RADIANS(F317))*COS(RADIANS(G317-N317)),SIN(RADIANS(G317-N317))*COS(RADIANS(F317))))+360,360),"N/A")</f>
        <v>N/A</v>
      </c>
      <c r="AN317" s="2"/>
      <c r="AO317" s="2"/>
    </row>
    <row r="318" spans="1:41" x14ac:dyDescent="0.2">
      <c r="A318" s="4" t="s">
        <v>421</v>
      </c>
      <c r="B318" s="4" t="s">
        <v>416</v>
      </c>
      <c r="C318" s="5">
        <v>951</v>
      </c>
      <c r="D318" s="4" t="s">
        <v>413</v>
      </c>
      <c r="E318" s="4" t="s">
        <v>414</v>
      </c>
      <c r="F318" s="15">
        <v>42.102400000000003</v>
      </c>
      <c r="G318" s="15">
        <v>19.4254</v>
      </c>
      <c r="H318" s="16">
        <v>5</v>
      </c>
      <c r="I318" s="4" t="s">
        <v>593</v>
      </c>
      <c r="J318" s="4" t="s">
        <v>15</v>
      </c>
      <c r="K318" s="6">
        <v>40.826999999999998</v>
      </c>
      <c r="L318" s="6">
        <v>14.138999999999999</v>
      </c>
      <c r="M318" s="5" t="s">
        <v>340</v>
      </c>
      <c r="N318" s="5" t="s">
        <v>340</v>
      </c>
      <c r="O318" s="4" t="s">
        <v>870</v>
      </c>
      <c r="P318" s="5" t="s">
        <v>340</v>
      </c>
      <c r="Q318" s="5" t="s">
        <v>340</v>
      </c>
      <c r="R318" s="4" t="s">
        <v>41</v>
      </c>
      <c r="S318" s="4" t="s">
        <v>1121</v>
      </c>
      <c r="T318" s="7">
        <v>11860</v>
      </c>
      <c r="U318" s="7">
        <v>12096</v>
      </c>
      <c r="V318" s="7">
        <v>12396</v>
      </c>
      <c r="W318" s="15" t="s">
        <v>928</v>
      </c>
      <c r="X318" s="21" t="s">
        <v>1357</v>
      </c>
      <c r="Y318" s="7" t="s">
        <v>340</v>
      </c>
      <c r="Z318" s="7" t="s">
        <v>340</v>
      </c>
      <c r="AA318" s="7" t="s">
        <v>340</v>
      </c>
      <c r="AB318" s="7" t="s">
        <v>340</v>
      </c>
      <c r="AC318" s="7">
        <v>12180</v>
      </c>
      <c r="AD318" s="7">
        <v>610</v>
      </c>
      <c r="AE318" s="7">
        <v>12104</v>
      </c>
      <c r="AF318" s="7">
        <v>141</v>
      </c>
      <c r="AG318" s="7" t="s">
        <v>340</v>
      </c>
      <c r="AH318" s="5">
        <v>1</v>
      </c>
      <c r="AI318" s="5">
        <v>1</v>
      </c>
      <c r="AJ318" s="9">
        <f>IF(AND(ISNUMBER(F318),ISNUMBER(G318),ISNUMBER(K318),ISNUMBER(L318)),ACOS(MIN(1,COS(RADIANS(90-F318))*COS(RADIANS(90-K318))+SIN(RADIANS(90-F318))*SIN(RADIANS(90-K318))*COS(RADIANS(G318-L318))))*6371,"N/A")</f>
        <v>462.66415356099174</v>
      </c>
      <c r="AK318" s="10">
        <f>IF(AND(ISNUMBER(F318),ISNUMBER(G318),ISNUMBER(K318),ISNUMBER(L318)),MOD(DEGREES(ATAN2(COS(RADIANS(K318))*SIN(RADIANS(F318))-SIN(RADIANS(K318))*COS(RADIANS(F318))*COS(RADIANS(G318-L318)),SIN(RADIANS(G318-L318))*COS(RADIANS(F318))))+360,360),"N/A")</f>
        <v>70.415016719312234</v>
      </c>
      <c r="AL318" s="10" t="str">
        <f>IF(AND(ISNUMBER(F318),ISNUMBER(G318),ISNUMBER(M318),ISNUMBER(N318)),ACOS(MIN(1,COS(RADIANS(90-F318))*COS(RADIANS(90-M318))+SIN(RADIANS(90-F318))*SIN(RADIANS(90-M318))*COS(RADIANS(G318-N318))))*6371,"N/A")</f>
        <v>N/A</v>
      </c>
      <c r="AM318" s="10" t="str">
        <f>IF(AND(ISNUMBER(F318),ISNUMBER(G318),ISNUMBER(M318),ISNUMBER(N318)),MOD(DEGREES(ATAN2(COS(RADIANS(M318))*SIN(RADIANS(F318))-SIN(RADIANS(M318))*COS(RADIANS(F318))*COS(RADIANS(G318-N318)),SIN(RADIANS(G318-N318))*COS(RADIANS(F318))))+360,360),"N/A")</f>
        <v>N/A</v>
      </c>
      <c r="AN318" s="2"/>
      <c r="AO318" s="2"/>
    </row>
    <row r="319" spans="1:41" x14ac:dyDescent="0.2">
      <c r="A319" s="4" t="s">
        <v>419</v>
      </c>
      <c r="B319" s="4" t="s">
        <v>415</v>
      </c>
      <c r="C319" s="5">
        <v>951</v>
      </c>
      <c r="D319" s="4" t="s">
        <v>413</v>
      </c>
      <c r="E319" s="4" t="s">
        <v>414</v>
      </c>
      <c r="F319" s="15">
        <v>42.102400000000003</v>
      </c>
      <c r="G319" s="15">
        <v>19.4254</v>
      </c>
      <c r="H319" s="16">
        <v>5</v>
      </c>
      <c r="I319" s="4" t="s">
        <v>593</v>
      </c>
      <c r="J319" s="4" t="s">
        <v>42</v>
      </c>
      <c r="K319" s="6">
        <v>37.747999999999998</v>
      </c>
      <c r="L319" s="6">
        <v>14.999000000000001</v>
      </c>
      <c r="M319" s="5" t="s">
        <v>340</v>
      </c>
      <c r="N319" s="5" t="s">
        <v>340</v>
      </c>
      <c r="O319" s="4" t="s">
        <v>424</v>
      </c>
      <c r="P319" s="5" t="s">
        <v>425</v>
      </c>
      <c r="Q319" s="5" t="s">
        <v>340</v>
      </c>
      <c r="R319" s="4" t="s">
        <v>41</v>
      </c>
      <c r="S319" s="4" t="s">
        <v>851</v>
      </c>
      <c r="T319" s="7">
        <v>3213</v>
      </c>
      <c r="U319" s="7">
        <v>3368</v>
      </c>
      <c r="V319" s="7">
        <v>3481</v>
      </c>
      <c r="W319" s="15" t="s">
        <v>909</v>
      </c>
      <c r="X319" s="15" t="s">
        <v>1367</v>
      </c>
      <c r="Y319" s="7">
        <v>3150</v>
      </c>
      <c r="Z319" s="7">
        <v>60</v>
      </c>
      <c r="AA319" s="7" t="s">
        <v>340</v>
      </c>
      <c r="AB319" s="7" t="s">
        <v>340</v>
      </c>
      <c r="AC319" s="7" t="s">
        <v>340</v>
      </c>
      <c r="AD319" s="7" t="s">
        <v>340</v>
      </c>
      <c r="AE319" s="7" t="s">
        <v>340</v>
      </c>
      <c r="AF319" s="7" t="s">
        <v>340</v>
      </c>
      <c r="AG319" s="7" t="s">
        <v>340</v>
      </c>
      <c r="AH319" s="5">
        <v>1</v>
      </c>
      <c r="AI319" s="5">
        <v>2</v>
      </c>
      <c r="AJ319" s="9">
        <f>IF(AND(ISNUMBER(F319),ISNUMBER(G319),ISNUMBER(K319),ISNUMBER(L319)),ACOS(MIN(1,COS(RADIANS(90-F319))*COS(RADIANS(90-K319))+SIN(RADIANS(90-F319))*SIN(RADIANS(90-K319))*COS(RADIANS(G319-L319))))*6371,"N/A")</f>
        <v>613.73225084453634</v>
      </c>
      <c r="AK319" s="10">
        <f>IF(AND(ISNUMBER(F319),ISNUMBER(G319),ISNUMBER(K319),ISNUMBER(L319)),MOD(DEGREES(ATAN2(COS(RADIANS(K319))*SIN(RADIANS(F319))-SIN(RADIANS(K319))*COS(RADIANS(F319))*COS(RADIANS(G319-L319)),SIN(RADIANS(G319-L319))*COS(RADIANS(F319))))+360,360),"N/A")</f>
        <v>36.537339524166157</v>
      </c>
      <c r="AL319" s="10" t="str">
        <f>IF(AND(ISNUMBER(F319),ISNUMBER(G319),ISNUMBER(M319),ISNUMBER(N319)),ACOS(MIN(1,COS(RADIANS(90-F319))*COS(RADIANS(90-M319))+SIN(RADIANS(90-F319))*SIN(RADIANS(90-M319))*COS(RADIANS(G319-N319))))*6371,"N/A")</f>
        <v>N/A</v>
      </c>
      <c r="AM319" s="10" t="str">
        <f>IF(AND(ISNUMBER(F319),ISNUMBER(G319),ISNUMBER(M319),ISNUMBER(N319)),MOD(DEGREES(ATAN2(COS(RADIANS(M319))*SIN(RADIANS(F319))-SIN(RADIANS(M319))*COS(RADIANS(F319))*COS(RADIANS(G319-N319)),SIN(RADIANS(G319-N319))*COS(RADIANS(F319))))+360,360),"N/A")</f>
        <v>N/A</v>
      </c>
      <c r="AN319" s="2"/>
      <c r="AO319" s="2"/>
    </row>
    <row r="320" spans="1:41" x14ac:dyDescent="0.2">
      <c r="A320" s="4" t="s">
        <v>420</v>
      </c>
      <c r="B320" s="4" t="s">
        <v>415</v>
      </c>
      <c r="C320" s="5">
        <v>951</v>
      </c>
      <c r="D320" s="4" t="s">
        <v>413</v>
      </c>
      <c r="E320" s="4" t="s">
        <v>414</v>
      </c>
      <c r="F320" s="15">
        <v>42.102400000000003</v>
      </c>
      <c r="G320" s="15">
        <v>19.4254</v>
      </c>
      <c r="H320" s="16">
        <v>5</v>
      </c>
      <c r="I320" s="4" t="s">
        <v>593</v>
      </c>
      <c r="J320" s="4" t="s">
        <v>16</v>
      </c>
      <c r="K320" s="6">
        <v>40.820999999999998</v>
      </c>
      <c r="L320" s="6">
        <v>14.426</v>
      </c>
      <c r="M320" s="5" t="s">
        <v>340</v>
      </c>
      <c r="N320" s="5" t="s">
        <v>340</v>
      </c>
      <c r="O320" s="4" t="s">
        <v>880</v>
      </c>
      <c r="P320" s="5">
        <v>28</v>
      </c>
      <c r="Q320" s="5" t="s">
        <v>340</v>
      </c>
      <c r="R320" s="4" t="s">
        <v>41</v>
      </c>
      <c r="S320" s="4" t="s">
        <v>1121</v>
      </c>
      <c r="T320" s="7">
        <v>1478</v>
      </c>
      <c r="U320" s="7">
        <v>1478</v>
      </c>
      <c r="V320" s="7">
        <v>1478</v>
      </c>
      <c r="W320" s="15" t="s">
        <v>898</v>
      </c>
      <c r="X320" s="15" t="s">
        <v>897</v>
      </c>
      <c r="Y320" s="7" t="s">
        <v>340</v>
      </c>
      <c r="Z320" s="7" t="s">
        <v>340</v>
      </c>
      <c r="AA320" s="7" t="s">
        <v>340</v>
      </c>
      <c r="AB320" s="7" t="s">
        <v>340</v>
      </c>
      <c r="AC320" s="7">
        <v>1440</v>
      </c>
      <c r="AD320" s="7">
        <v>70</v>
      </c>
      <c r="AE320" s="7" t="s">
        <v>340</v>
      </c>
      <c r="AF320" s="7" t="s">
        <v>340</v>
      </c>
      <c r="AG320" s="7" t="s">
        <v>881</v>
      </c>
      <c r="AH320" s="5">
        <v>1</v>
      </c>
      <c r="AI320" s="5">
        <v>1</v>
      </c>
      <c r="AJ320" s="9">
        <f>IF(AND(ISNUMBER(F320),ISNUMBER(G320),ISNUMBER(K320),ISNUMBER(L320)),ACOS(MIN(1,COS(RADIANS(90-F320))*COS(RADIANS(90-K320))+SIN(RADIANS(90-F320))*SIN(RADIANS(90-K320))*COS(RADIANS(G320-L320))))*6371,"N/A")</f>
        <v>440.20705235925237</v>
      </c>
      <c r="AK320" s="10">
        <f>IF(AND(ISNUMBER(F320),ISNUMBER(G320),ISNUMBER(K320),ISNUMBER(L320)),MOD(DEGREES(ATAN2(COS(RADIANS(K320))*SIN(RADIANS(F320))-SIN(RADIANS(K320))*COS(RADIANS(F320))*COS(RADIANS(G320-L320)),SIN(RADIANS(G320-L320))*COS(RADIANS(F320))))+360,360),"N/A")</f>
        <v>69.473890323967169</v>
      </c>
      <c r="AL320" s="10" t="str">
        <f>IF(AND(ISNUMBER(F320),ISNUMBER(G320),ISNUMBER(M320),ISNUMBER(N320)),ACOS(MIN(1,COS(RADIANS(90-F320))*COS(RADIANS(90-M320))+SIN(RADIANS(90-F320))*SIN(RADIANS(90-M320))*COS(RADIANS(G320-N320))))*6371,"N/A")</f>
        <v>N/A</v>
      </c>
      <c r="AM320" s="10" t="str">
        <f>IF(AND(ISNUMBER(F320),ISNUMBER(G320),ISNUMBER(M320),ISNUMBER(N320)),MOD(DEGREES(ATAN2(COS(RADIANS(M320))*SIN(RADIANS(F320))-SIN(RADIANS(M320))*COS(RADIANS(F320))*COS(RADIANS(G320-N320)),SIN(RADIANS(G320-N320))*COS(RADIANS(F320))))+360,360),"N/A")</f>
        <v>N/A</v>
      </c>
      <c r="AN320" s="2"/>
      <c r="AO320" s="2"/>
    </row>
    <row r="321" spans="1:41" x14ac:dyDescent="0.2">
      <c r="A321" s="4" t="s">
        <v>423</v>
      </c>
      <c r="B321" s="4" t="s">
        <v>416</v>
      </c>
      <c r="C321" s="5">
        <v>951</v>
      </c>
      <c r="D321" s="4" t="s">
        <v>413</v>
      </c>
      <c r="E321" s="4" t="s">
        <v>414</v>
      </c>
      <c r="F321" s="15">
        <v>42.102400000000003</v>
      </c>
      <c r="G321" s="15">
        <v>19.4254</v>
      </c>
      <c r="H321" s="16">
        <v>5</v>
      </c>
      <c r="I321" s="4" t="s">
        <v>593</v>
      </c>
      <c r="J321" s="4" t="s">
        <v>16</v>
      </c>
      <c r="K321" s="6">
        <v>40.820999999999998</v>
      </c>
      <c r="L321" s="6">
        <v>14.426</v>
      </c>
      <c r="M321" s="5" t="s">
        <v>340</v>
      </c>
      <c r="N321" s="5" t="s">
        <v>340</v>
      </c>
      <c r="O321" s="4" t="s">
        <v>880</v>
      </c>
      <c r="P321" s="5">
        <v>16</v>
      </c>
      <c r="Q321" s="5" t="s">
        <v>340</v>
      </c>
      <c r="R321" s="4" t="s">
        <v>41</v>
      </c>
      <c r="S321" s="4" t="s">
        <v>1121</v>
      </c>
      <c r="T321" s="7">
        <v>1478</v>
      </c>
      <c r="U321" s="7">
        <v>1478</v>
      </c>
      <c r="V321" s="7">
        <v>1478</v>
      </c>
      <c r="W321" s="15" t="s">
        <v>898</v>
      </c>
      <c r="X321" s="15" t="s">
        <v>897</v>
      </c>
      <c r="Y321" s="7" t="s">
        <v>340</v>
      </c>
      <c r="Z321" s="7" t="s">
        <v>340</v>
      </c>
      <c r="AA321" s="7" t="s">
        <v>340</v>
      </c>
      <c r="AB321" s="7" t="s">
        <v>340</v>
      </c>
      <c r="AC321" s="7">
        <v>1440</v>
      </c>
      <c r="AD321" s="7">
        <v>70</v>
      </c>
      <c r="AE321" s="7" t="s">
        <v>340</v>
      </c>
      <c r="AF321" s="7" t="s">
        <v>340</v>
      </c>
      <c r="AG321" s="7" t="s">
        <v>881</v>
      </c>
      <c r="AH321" s="5">
        <v>1</v>
      </c>
      <c r="AI321" s="5">
        <v>1</v>
      </c>
      <c r="AJ321" s="9">
        <f>IF(AND(ISNUMBER(F321),ISNUMBER(G321),ISNUMBER(K321),ISNUMBER(L321)),ACOS(MIN(1,COS(RADIANS(90-F321))*COS(RADIANS(90-K321))+SIN(RADIANS(90-F321))*SIN(RADIANS(90-K321))*COS(RADIANS(G321-L321))))*6371,"N/A")</f>
        <v>440.20705235925237</v>
      </c>
      <c r="AK321" s="10">
        <f>IF(AND(ISNUMBER(F321),ISNUMBER(G321),ISNUMBER(K321),ISNUMBER(L321)),MOD(DEGREES(ATAN2(COS(RADIANS(K321))*SIN(RADIANS(F321))-SIN(RADIANS(K321))*COS(RADIANS(F321))*COS(RADIANS(G321-L321)),SIN(RADIANS(G321-L321))*COS(RADIANS(F321))))+360,360),"N/A")</f>
        <v>69.473890323967169</v>
      </c>
      <c r="AL321" s="10" t="str">
        <f>IF(AND(ISNUMBER(F321),ISNUMBER(G321),ISNUMBER(M321),ISNUMBER(N321)),ACOS(MIN(1,COS(RADIANS(90-F321))*COS(RADIANS(90-M321))+SIN(RADIANS(90-F321))*SIN(RADIANS(90-M321))*COS(RADIANS(G321-N321))))*6371,"N/A")</f>
        <v>N/A</v>
      </c>
      <c r="AM321" s="10" t="str">
        <f>IF(AND(ISNUMBER(F321),ISNUMBER(G321),ISNUMBER(M321),ISNUMBER(N321)),MOD(DEGREES(ATAN2(COS(RADIANS(M321))*SIN(RADIANS(F321))-SIN(RADIANS(M321))*COS(RADIANS(F321))*COS(RADIANS(G321-N321)),SIN(RADIANS(G321-N321))*COS(RADIANS(F321))))+360,360),"N/A")</f>
        <v>N/A</v>
      </c>
      <c r="AN321" s="2"/>
      <c r="AO321" s="2"/>
    </row>
    <row r="322" spans="1:41" x14ac:dyDescent="0.2">
      <c r="A322" s="4" t="s">
        <v>418</v>
      </c>
      <c r="B322" s="4" t="s">
        <v>415</v>
      </c>
      <c r="C322" s="5">
        <v>951</v>
      </c>
      <c r="D322" s="4" t="s">
        <v>413</v>
      </c>
      <c r="E322" s="4" t="s">
        <v>414</v>
      </c>
      <c r="F322" s="15">
        <v>42.102400000000003</v>
      </c>
      <c r="G322" s="15">
        <v>19.4254</v>
      </c>
      <c r="H322" s="16">
        <v>5</v>
      </c>
      <c r="I322" s="4" t="s">
        <v>593</v>
      </c>
      <c r="J322" s="4" t="s">
        <v>16</v>
      </c>
      <c r="K322" s="6">
        <v>40.820999999999998</v>
      </c>
      <c r="L322" s="6">
        <v>14.426</v>
      </c>
      <c r="M322" s="5" t="s">
        <v>340</v>
      </c>
      <c r="N322" s="5" t="s">
        <v>340</v>
      </c>
      <c r="O322" s="4" t="s">
        <v>38</v>
      </c>
      <c r="P322" s="5">
        <v>12</v>
      </c>
      <c r="Q322" s="5" t="s">
        <v>340</v>
      </c>
      <c r="R322" s="4" t="s">
        <v>41</v>
      </c>
      <c r="S322" s="4" t="s">
        <v>1121</v>
      </c>
      <c r="T322" s="7" t="s">
        <v>920</v>
      </c>
      <c r="U322" s="7">
        <v>3839</v>
      </c>
      <c r="V322" s="7" t="s">
        <v>921</v>
      </c>
      <c r="W322" s="15" t="s">
        <v>922</v>
      </c>
      <c r="X322" s="21" t="s">
        <v>919</v>
      </c>
      <c r="Y322" s="7" t="s">
        <v>340</v>
      </c>
      <c r="Z322" s="7" t="s">
        <v>340</v>
      </c>
      <c r="AA322" s="7" t="s">
        <v>340</v>
      </c>
      <c r="AB322" s="7" t="s">
        <v>340</v>
      </c>
      <c r="AC322" s="7">
        <v>4310</v>
      </c>
      <c r="AD322" s="7">
        <v>220</v>
      </c>
      <c r="AE322" s="7">
        <v>3839</v>
      </c>
      <c r="AF322" s="7">
        <v>21</v>
      </c>
      <c r="AG322" s="7" t="s">
        <v>340</v>
      </c>
      <c r="AH322" s="5">
        <v>1</v>
      </c>
      <c r="AI322" s="5">
        <v>1</v>
      </c>
      <c r="AJ322" s="9">
        <f>IF(AND(ISNUMBER(F322),ISNUMBER(G322),ISNUMBER(K322),ISNUMBER(L322)),ACOS(MIN(1,COS(RADIANS(90-F322))*COS(RADIANS(90-K322))+SIN(RADIANS(90-F322))*SIN(RADIANS(90-K322))*COS(RADIANS(G322-L322))))*6371,"N/A")</f>
        <v>440.20705235925237</v>
      </c>
      <c r="AK322" s="10">
        <f>IF(AND(ISNUMBER(F322),ISNUMBER(G322),ISNUMBER(K322),ISNUMBER(L322)),MOD(DEGREES(ATAN2(COS(RADIANS(K322))*SIN(RADIANS(F322))-SIN(RADIANS(K322))*COS(RADIANS(F322))*COS(RADIANS(G322-L322)),SIN(RADIANS(G322-L322))*COS(RADIANS(F322))))+360,360),"N/A")</f>
        <v>69.473890323967169</v>
      </c>
      <c r="AL322" s="10" t="str">
        <f>IF(AND(ISNUMBER(F322),ISNUMBER(G322),ISNUMBER(M322),ISNUMBER(N322)),ACOS(MIN(1,COS(RADIANS(90-F322))*COS(RADIANS(90-M322))+SIN(RADIANS(90-F322))*SIN(RADIANS(90-M322))*COS(RADIANS(G322-N322))))*6371,"N/A")</f>
        <v>N/A</v>
      </c>
      <c r="AM322" s="10" t="str">
        <f>IF(AND(ISNUMBER(F322),ISNUMBER(G322),ISNUMBER(M322),ISNUMBER(N322)),MOD(DEGREES(ATAN2(COS(RADIANS(M322))*SIN(RADIANS(F322))-SIN(RADIANS(M322))*COS(RADIANS(F322))*COS(RADIANS(G322-N322)),SIN(RADIANS(G322-N322))*COS(RADIANS(F322))))+360,360),"N/A")</f>
        <v>N/A</v>
      </c>
      <c r="AN322" s="2"/>
      <c r="AO322" s="2"/>
    </row>
    <row r="323" spans="1:41" x14ac:dyDescent="0.2">
      <c r="A323" s="4" t="s">
        <v>1185</v>
      </c>
      <c r="B323" s="4" t="s">
        <v>567</v>
      </c>
      <c r="C323" s="5" t="s">
        <v>340</v>
      </c>
      <c r="D323" s="4" t="s">
        <v>602</v>
      </c>
      <c r="E323" s="4" t="s">
        <v>569</v>
      </c>
      <c r="F323" s="15">
        <v>37.817</v>
      </c>
      <c r="G323" s="15">
        <v>29.882999999999999</v>
      </c>
      <c r="H323" s="16" t="s">
        <v>340</v>
      </c>
      <c r="I323" s="4" t="s">
        <v>568</v>
      </c>
      <c r="J323" s="4" t="s">
        <v>241</v>
      </c>
      <c r="K323" s="6">
        <v>36.404000000000003</v>
      </c>
      <c r="L323" s="6">
        <v>25.396000000000001</v>
      </c>
      <c r="M323" s="5" t="s">
        <v>340</v>
      </c>
      <c r="N323" s="5" t="s">
        <v>340</v>
      </c>
      <c r="O323" s="4" t="s">
        <v>387</v>
      </c>
      <c r="P323" s="5" t="s">
        <v>340</v>
      </c>
      <c r="Q323" s="5" t="s">
        <v>340</v>
      </c>
      <c r="R323" s="4" t="s">
        <v>41</v>
      </c>
      <c r="T323" s="7">
        <v>3510</v>
      </c>
      <c r="U323" s="7">
        <v>3535</v>
      </c>
      <c r="V323" s="7">
        <v>3559</v>
      </c>
      <c r="W323" s="21" t="s">
        <v>935</v>
      </c>
      <c r="X323" s="21" t="s">
        <v>852</v>
      </c>
      <c r="Y323" s="7" t="s">
        <v>340</v>
      </c>
      <c r="Z323" s="7" t="s">
        <v>340</v>
      </c>
      <c r="AA323" s="7" t="s">
        <v>340</v>
      </c>
      <c r="AB323" s="7" t="s">
        <v>340</v>
      </c>
      <c r="AC323" s="7" t="s">
        <v>340</v>
      </c>
      <c r="AD323" s="7" t="s">
        <v>340</v>
      </c>
      <c r="AE323" s="7">
        <v>3535</v>
      </c>
      <c r="AF323" s="7">
        <v>25</v>
      </c>
      <c r="AG323" s="7" t="s">
        <v>340</v>
      </c>
      <c r="AH323" s="5">
        <v>1</v>
      </c>
      <c r="AI323" s="5">
        <v>1</v>
      </c>
      <c r="AJ323" s="9">
        <f>IF(AND(ISNUMBER(F323),ISNUMBER(G323),ISNUMBER(K323),ISNUMBER(L323)),ACOS(MIN(1,COS(RADIANS(90-F323))*COS(RADIANS(90-K323))+SIN(RADIANS(90-F323))*SIN(RADIANS(90-K323))*COS(RADIANS(G323-L323))))*6371,"N/A")</f>
        <v>427.72323273064671</v>
      </c>
      <c r="AK323" s="10">
        <f>IF(AND(ISNUMBER(F323),ISNUMBER(G323),ISNUMBER(K323),ISNUMBER(L323)),MOD(DEGREES(ATAN2(COS(RADIANS(K323))*SIN(RADIANS(F323))-SIN(RADIANS(K323))*COS(RADIANS(F323))*COS(RADIANS(G323-L323)),SIN(RADIANS(G323-L323))*COS(RADIANS(F323))))+360,360),"N/A")</f>
        <v>67.108046022536882</v>
      </c>
      <c r="AL323" s="10" t="str">
        <f>IF(AND(ISNUMBER(F323),ISNUMBER(G323),ISNUMBER(M323),ISNUMBER(N323)),ACOS(MIN(1,COS(RADIANS(90-F323))*COS(RADIANS(90-M323))+SIN(RADIANS(90-F323))*SIN(RADIANS(90-M323))*COS(RADIANS(G323-N323))))*6371,"N/A")</f>
        <v>N/A</v>
      </c>
      <c r="AM323" s="10" t="str">
        <f>IF(AND(ISNUMBER(F323),ISNUMBER(G323),ISNUMBER(M323),ISNUMBER(N323)),MOD(DEGREES(ATAN2(COS(RADIANS(M323))*SIN(RADIANS(F323))-SIN(RADIANS(M323))*COS(RADIANS(F323))*COS(RADIANS(G323-N323)),SIN(RADIANS(G323-N323))*COS(RADIANS(F323))))+360,360),"N/A")</f>
        <v>N/A</v>
      </c>
      <c r="AN323" s="2"/>
      <c r="AO323" s="2"/>
    </row>
    <row r="324" spans="1:41" x14ac:dyDescent="0.2">
      <c r="A324" s="4" t="s">
        <v>738</v>
      </c>
      <c r="B324" s="4" t="s">
        <v>728</v>
      </c>
      <c r="C324" s="5" t="s">
        <v>340</v>
      </c>
      <c r="D324" s="4" t="s">
        <v>70</v>
      </c>
      <c r="E324" s="4" t="s">
        <v>71</v>
      </c>
      <c r="F324" s="15">
        <v>41.283222000000002</v>
      </c>
      <c r="G324" s="15">
        <v>17.616797999999999</v>
      </c>
      <c r="H324" s="16">
        <v>-1013</v>
      </c>
      <c r="I324" s="4" t="s">
        <v>981</v>
      </c>
      <c r="J324" s="4" t="s">
        <v>15</v>
      </c>
      <c r="K324" s="6">
        <v>40.826999999999998</v>
      </c>
      <c r="L324" s="6">
        <v>14.138999999999999</v>
      </c>
      <c r="M324" s="5" t="s">
        <v>340</v>
      </c>
      <c r="N324" s="5" t="s">
        <v>340</v>
      </c>
      <c r="O324" s="4" t="s">
        <v>199</v>
      </c>
      <c r="P324" s="5">
        <v>36</v>
      </c>
      <c r="Q324" s="5" t="s">
        <v>340</v>
      </c>
      <c r="R324" s="4" t="s">
        <v>184</v>
      </c>
      <c r="S324" s="4" t="s">
        <v>1121</v>
      </c>
      <c r="T324" s="7">
        <v>4483</v>
      </c>
      <c r="U324" s="7">
        <v>4540</v>
      </c>
      <c r="V324" s="7">
        <v>4627</v>
      </c>
      <c r="W324" s="15" t="s">
        <v>928</v>
      </c>
      <c r="X324" s="21" t="s">
        <v>1357</v>
      </c>
      <c r="Y324" s="7" t="s">
        <v>340</v>
      </c>
      <c r="Z324" s="7" t="s">
        <v>340</v>
      </c>
      <c r="AA324" s="7" t="s">
        <v>340</v>
      </c>
      <c r="AB324" s="7" t="s">
        <v>340</v>
      </c>
      <c r="AC324" s="7">
        <v>5390</v>
      </c>
      <c r="AD324" s="7">
        <v>270</v>
      </c>
      <c r="AE324" s="7">
        <v>4546</v>
      </c>
      <c r="AF324" s="7">
        <v>36</v>
      </c>
      <c r="AG324" s="7" t="s">
        <v>340</v>
      </c>
      <c r="AH324" s="5">
        <v>1</v>
      </c>
      <c r="AI324" s="5">
        <v>1</v>
      </c>
      <c r="AJ324" s="9">
        <f>IF(AND(ISNUMBER(F324),ISNUMBER(G324),ISNUMBER(K324),ISNUMBER(L324)),ACOS(MIN(1,COS(RADIANS(90-F324))*COS(RADIANS(90-K324))+SIN(RADIANS(90-F324))*SIN(RADIANS(90-K324))*COS(RADIANS(G324-L324))))*6371,"N/A")</f>
        <v>295.97032738902527</v>
      </c>
      <c r="AK324" s="10">
        <f>IF(AND(ISNUMBER(F324),ISNUMBER(G324),ISNUMBER(K324),ISNUMBER(L324)),MOD(DEGREES(ATAN2(COS(RADIANS(K324))*SIN(RADIANS(F324))-SIN(RADIANS(K324))*COS(RADIANS(F324))*COS(RADIANS(G324-L324)),SIN(RADIANS(G324-L324))*COS(RADIANS(F324))))+360,360),"N/A")</f>
        <v>78.992151423395626</v>
      </c>
      <c r="AL324" s="10" t="str">
        <f>IF(AND(ISNUMBER(F324),ISNUMBER(G324),ISNUMBER(M324),ISNUMBER(N324)),ACOS(MIN(1,COS(RADIANS(90-F324))*COS(RADIANS(90-M324))+SIN(RADIANS(90-F324))*SIN(RADIANS(90-M324))*COS(RADIANS(G324-N324))))*6371,"N/A")</f>
        <v>N/A</v>
      </c>
      <c r="AM324" s="10" t="str">
        <f>IF(AND(ISNUMBER(F324),ISNUMBER(G324),ISNUMBER(M324),ISNUMBER(N324)),MOD(DEGREES(ATAN2(COS(RADIANS(M324))*SIN(RADIANS(F324))-SIN(RADIANS(M324))*COS(RADIANS(F324))*COS(RADIANS(G324-N324)),SIN(RADIANS(G324-N324))*COS(RADIANS(F324))))+360,360),"N/A")</f>
        <v>N/A</v>
      </c>
      <c r="AN324" s="2"/>
      <c r="AO324" s="2"/>
    </row>
    <row r="325" spans="1:41" x14ac:dyDescent="0.2">
      <c r="A325" s="4" t="s">
        <v>731</v>
      </c>
      <c r="B325" s="4" t="s">
        <v>726</v>
      </c>
      <c r="C325" s="5" t="s">
        <v>340</v>
      </c>
      <c r="D325" s="4" t="s">
        <v>70</v>
      </c>
      <c r="E325" s="4" t="s">
        <v>71</v>
      </c>
      <c r="F325" s="15">
        <v>41.283399000000003</v>
      </c>
      <c r="G325" s="15">
        <v>17.616657</v>
      </c>
      <c r="H325" s="16">
        <v>-1013</v>
      </c>
      <c r="I325" s="4" t="s">
        <v>981</v>
      </c>
      <c r="J325" s="4" t="s">
        <v>15</v>
      </c>
      <c r="K325" s="6">
        <v>40.826999999999998</v>
      </c>
      <c r="L325" s="6">
        <v>14.138999999999999</v>
      </c>
      <c r="M325" s="5" t="s">
        <v>340</v>
      </c>
      <c r="N325" s="5" t="s">
        <v>340</v>
      </c>
      <c r="O325" s="4" t="s">
        <v>199</v>
      </c>
      <c r="P325" s="5">
        <v>8</v>
      </c>
      <c r="Q325" s="5" t="s">
        <v>340</v>
      </c>
      <c r="R325" s="4" t="s">
        <v>184</v>
      </c>
      <c r="S325" s="4" t="s">
        <v>1121</v>
      </c>
      <c r="T325" s="7">
        <v>4483</v>
      </c>
      <c r="U325" s="7">
        <v>4540</v>
      </c>
      <c r="V325" s="7">
        <v>4627</v>
      </c>
      <c r="W325" s="15" t="s">
        <v>928</v>
      </c>
      <c r="X325" s="21" t="s">
        <v>1357</v>
      </c>
      <c r="Y325" s="7" t="s">
        <v>340</v>
      </c>
      <c r="Z325" s="7" t="s">
        <v>340</v>
      </c>
      <c r="AA325" s="7" t="s">
        <v>340</v>
      </c>
      <c r="AB325" s="7" t="s">
        <v>340</v>
      </c>
      <c r="AC325" s="7">
        <v>5390</v>
      </c>
      <c r="AD325" s="7">
        <v>270</v>
      </c>
      <c r="AE325" s="7">
        <v>4546</v>
      </c>
      <c r="AF325" s="7">
        <v>36</v>
      </c>
      <c r="AG325" s="7" t="s">
        <v>340</v>
      </c>
      <c r="AH325" s="5">
        <v>1</v>
      </c>
      <c r="AI325" s="5">
        <v>1</v>
      </c>
      <c r="AJ325" s="9">
        <f>IF(AND(ISNUMBER(F325),ISNUMBER(G325),ISNUMBER(K325),ISNUMBER(L325)),ACOS(MIN(1,COS(RADIANS(90-F325))*COS(RADIANS(90-K325))+SIN(RADIANS(90-F325))*SIN(RADIANS(90-K325))*COS(RADIANS(G325-L325))))*6371,"N/A")</f>
        <v>295.96166769765352</v>
      </c>
      <c r="AK325" s="10">
        <f>IF(AND(ISNUMBER(F325),ISNUMBER(G325),ISNUMBER(K325),ISNUMBER(L325)),MOD(DEGREES(ATAN2(COS(RADIANS(K325))*SIN(RADIANS(F325))-SIN(RADIANS(K325))*COS(RADIANS(F325))*COS(RADIANS(G325-L325)),SIN(RADIANS(G325-L325))*COS(RADIANS(F325))))+360,360),"N/A")</f>
        <v>78.98803792073727</v>
      </c>
      <c r="AL325" s="10" t="str">
        <f>IF(AND(ISNUMBER(F325),ISNUMBER(G325),ISNUMBER(M325),ISNUMBER(N325)),ACOS(MIN(1,COS(RADIANS(90-F325))*COS(RADIANS(90-M325))+SIN(RADIANS(90-F325))*SIN(RADIANS(90-M325))*COS(RADIANS(G325-N325))))*6371,"N/A")</f>
        <v>N/A</v>
      </c>
      <c r="AM325" s="10" t="str">
        <f>IF(AND(ISNUMBER(F325),ISNUMBER(G325),ISNUMBER(M325),ISNUMBER(N325)),MOD(DEGREES(ATAN2(COS(RADIANS(M325))*SIN(RADIANS(F325))-SIN(RADIANS(M325))*COS(RADIANS(F325))*COS(RADIANS(G325-N325)),SIN(RADIANS(G325-N325))*COS(RADIANS(F325))))+360,360),"N/A")</f>
        <v>N/A</v>
      </c>
      <c r="AN325" s="2"/>
      <c r="AO325" s="2"/>
    </row>
    <row r="326" spans="1:41" x14ac:dyDescent="0.2">
      <c r="A326" s="4" t="s">
        <v>732</v>
      </c>
      <c r="B326" s="4" t="s">
        <v>726</v>
      </c>
      <c r="C326" s="5" t="s">
        <v>340</v>
      </c>
      <c r="D326" s="4" t="s">
        <v>70</v>
      </c>
      <c r="E326" s="4" t="s">
        <v>71</v>
      </c>
      <c r="F326" s="15">
        <v>41.283399000000003</v>
      </c>
      <c r="G326" s="15">
        <v>17.616657</v>
      </c>
      <c r="H326" s="16">
        <v>-1013</v>
      </c>
      <c r="I326" s="4" t="s">
        <v>981</v>
      </c>
      <c r="J326" s="4" t="s">
        <v>15</v>
      </c>
      <c r="K326" s="6">
        <v>40.826999999999998</v>
      </c>
      <c r="L326" s="6">
        <v>14.138999999999999</v>
      </c>
      <c r="M326" s="5" t="s">
        <v>340</v>
      </c>
      <c r="N326" s="5" t="s">
        <v>340</v>
      </c>
      <c r="O326" s="4" t="s">
        <v>199</v>
      </c>
      <c r="P326" s="5">
        <v>23</v>
      </c>
      <c r="Q326" s="5" t="s">
        <v>340</v>
      </c>
      <c r="R326" s="4" t="s">
        <v>184</v>
      </c>
      <c r="S326" s="4" t="s">
        <v>1121</v>
      </c>
      <c r="T326" s="7">
        <v>4483</v>
      </c>
      <c r="U326" s="7">
        <v>4540</v>
      </c>
      <c r="V326" s="7">
        <v>4627</v>
      </c>
      <c r="W326" s="15" t="s">
        <v>928</v>
      </c>
      <c r="X326" s="21" t="s">
        <v>1357</v>
      </c>
      <c r="Y326" s="7" t="s">
        <v>340</v>
      </c>
      <c r="Z326" s="7" t="s">
        <v>340</v>
      </c>
      <c r="AA326" s="7" t="s">
        <v>340</v>
      </c>
      <c r="AB326" s="7" t="s">
        <v>340</v>
      </c>
      <c r="AC326" s="7">
        <v>5390</v>
      </c>
      <c r="AD326" s="7">
        <v>270</v>
      </c>
      <c r="AE326" s="7">
        <v>4546</v>
      </c>
      <c r="AF326" s="7">
        <v>36</v>
      </c>
      <c r="AG326" s="7" t="s">
        <v>340</v>
      </c>
      <c r="AH326" s="5">
        <v>1</v>
      </c>
      <c r="AI326" s="5">
        <v>1</v>
      </c>
      <c r="AJ326" s="9">
        <f>IF(AND(ISNUMBER(F326),ISNUMBER(G326),ISNUMBER(K326),ISNUMBER(L326)),ACOS(MIN(1,COS(RADIANS(90-F326))*COS(RADIANS(90-K326))+SIN(RADIANS(90-F326))*SIN(RADIANS(90-K326))*COS(RADIANS(G326-L326))))*6371,"N/A")</f>
        <v>295.96166769765352</v>
      </c>
      <c r="AK326" s="10">
        <f>IF(AND(ISNUMBER(F326),ISNUMBER(G326),ISNUMBER(K326),ISNUMBER(L326)),MOD(DEGREES(ATAN2(COS(RADIANS(K326))*SIN(RADIANS(F326))-SIN(RADIANS(K326))*COS(RADIANS(F326))*COS(RADIANS(G326-L326)),SIN(RADIANS(G326-L326))*COS(RADIANS(F326))))+360,360),"N/A")</f>
        <v>78.98803792073727</v>
      </c>
      <c r="AL326" s="10" t="str">
        <f>IF(AND(ISNUMBER(F326),ISNUMBER(G326),ISNUMBER(M326),ISNUMBER(N326)),ACOS(MIN(1,COS(RADIANS(90-F326))*COS(RADIANS(90-M326))+SIN(RADIANS(90-F326))*SIN(RADIANS(90-M326))*COS(RADIANS(G326-N326))))*6371,"N/A")</f>
        <v>N/A</v>
      </c>
      <c r="AM326" s="10" t="str">
        <f>IF(AND(ISNUMBER(F326),ISNUMBER(G326),ISNUMBER(M326),ISNUMBER(N326)),MOD(DEGREES(ATAN2(COS(RADIANS(M326))*SIN(RADIANS(F326))-SIN(RADIANS(M326))*COS(RADIANS(F326))*COS(RADIANS(G326-N326)),SIN(RADIANS(G326-N326))*COS(RADIANS(F326))))+360,360),"N/A")</f>
        <v>N/A</v>
      </c>
      <c r="AN326" s="2"/>
      <c r="AO326" s="2"/>
    </row>
    <row r="327" spans="1:41" x14ac:dyDescent="0.2">
      <c r="A327" s="4" t="s">
        <v>737</v>
      </c>
      <c r="B327" s="4" t="s">
        <v>728</v>
      </c>
      <c r="C327" s="5" t="s">
        <v>340</v>
      </c>
      <c r="D327" s="4" t="s">
        <v>70</v>
      </c>
      <c r="E327" s="4" t="s">
        <v>71</v>
      </c>
      <c r="F327" s="15">
        <v>41.283222000000002</v>
      </c>
      <c r="G327" s="15">
        <v>17.616797999999999</v>
      </c>
      <c r="H327" s="16">
        <v>-1013</v>
      </c>
      <c r="I327" s="4" t="s">
        <v>981</v>
      </c>
      <c r="J327" s="8" t="s">
        <v>15</v>
      </c>
      <c r="K327" s="6">
        <v>40.826999999999998</v>
      </c>
      <c r="L327" s="6">
        <v>14.138999999999999</v>
      </c>
      <c r="M327" s="5" t="s">
        <v>340</v>
      </c>
      <c r="N327" s="5" t="s">
        <v>340</v>
      </c>
      <c r="O327" s="8" t="s">
        <v>754</v>
      </c>
      <c r="P327" s="5">
        <v>17</v>
      </c>
      <c r="Q327" s="5" t="s">
        <v>340</v>
      </c>
      <c r="R327" s="4" t="s">
        <v>184</v>
      </c>
      <c r="S327" s="4" t="s">
        <v>1121</v>
      </c>
      <c r="T327" s="7">
        <v>4000</v>
      </c>
      <c r="U327" s="7">
        <v>4128</v>
      </c>
      <c r="V327" s="7">
        <v>4234</v>
      </c>
      <c r="W327" s="15" t="s">
        <v>928</v>
      </c>
      <c r="X327" s="15" t="s">
        <v>1357</v>
      </c>
      <c r="Y327" s="7" t="s">
        <v>340</v>
      </c>
      <c r="Z327" s="7" t="s">
        <v>340</v>
      </c>
      <c r="AA327" s="7" t="s">
        <v>340</v>
      </c>
      <c r="AB327" s="7" t="s">
        <v>340</v>
      </c>
      <c r="AC327" s="7" t="s">
        <v>340</v>
      </c>
      <c r="AD327" s="7" t="s">
        <v>340</v>
      </c>
      <c r="AE327" s="7">
        <v>4131</v>
      </c>
      <c r="AF327" s="7">
        <v>56</v>
      </c>
      <c r="AG327" s="7" t="s">
        <v>340</v>
      </c>
      <c r="AH327" s="5">
        <v>1</v>
      </c>
      <c r="AI327" s="5">
        <v>1</v>
      </c>
      <c r="AJ327" s="9">
        <f>IF(AND(ISNUMBER(F327),ISNUMBER(G327),ISNUMBER(K327),ISNUMBER(L327)),ACOS(MIN(1,COS(RADIANS(90-F327))*COS(RADIANS(90-K327))+SIN(RADIANS(90-F327))*SIN(RADIANS(90-K327))*COS(RADIANS(G327-L327))))*6371,"N/A")</f>
        <v>295.97032738902527</v>
      </c>
      <c r="AK327" s="10">
        <f>IF(AND(ISNUMBER(F327),ISNUMBER(G327),ISNUMBER(K327),ISNUMBER(L327)),MOD(DEGREES(ATAN2(COS(RADIANS(K327))*SIN(RADIANS(F327))-SIN(RADIANS(K327))*COS(RADIANS(F327))*COS(RADIANS(G327-L327)),SIN(RADIANS(G327-L327))*COS(RADIANS(F327))))+360,360),"N/A")</f>
        <v>78.992151423395626</v>
      </c>
      <c r="AL327" s="10" t="str">
        <f>IF(AND(ISNUMBER(F327),ISNUMBER(G327),ISNUMBER(M327),ISNUMBER(N327)),ACOS(MIN(1,COS(RADIANS(90-F327))*COS(RADIANS(90-M327))+SIN(RADIANS(90-F327))*SIN(RADIANS(90-M327))*COS(RADIANS(G327-N327))))*6371,"N/A")</f>
        <v>N/A</v>
      </c>
      <c r="AM327" s="10" t="str">
        <f>IF(AND(ISNUMBER(F327),ISNUMBER(G327),ISNUMBER(M327),ISNUMBER(N327)),MOD(DEGREES(ATAN2(COS(RADIANS(M327))*SIN(RADIANS(F327))-SIN(RADIANS(M327))*COS(RADIANS(F327))*COS(RADIANS(G327-N327)),SIN(RADIANS(G327-N327))*COS(RADIANS(F327))))+360,360),"N/A")</f>
        <v>N/A</v>
      </c>
      <c r="AN327" s="2"/>
      <c r="AO327" s="2"/>
    </row>
    <row r="328" spans="1:41" x14ac:dyDescent="0.2">
      <c r="A328" s="4" t="s">
        <v>753</v>
      </c>
      <c r="B328" s="4" t="s">
        <v>726</v>
      </c>
      <c r="C328" s="5" t="s">
        <v>340</v>
      </c>
      <c r="D328" s="4" t="s">
        <v>70</v>
      </c>
      <c r="E328" s="4" t="s">
        <v>71</v>
      </c>
      <c r="F328" s="15">
        <v>41.283399000000003</v>
      </c>
      <c r="G328" s="15">
        <v>17.616657</v>
      </c>
      <c r="H328" s="16">
        <v>-1013</v>
      </c>
      <c r="I328" s="4" t="s">
        <v>981</v>
      </c>
      <c r="J328" s="4" t="s">
        <v>15</v>
      </c>
      <c r="K328" s="6">
        <v>40.826999999999998</v>
      </c>
      <c r="L328" s="6">
        <v>14.138999999999999</v>
      </c>
      <c r="M328" s="5" t="s">
        <v>340</v>
      </c>
      <c r="N328" s="5" t="s">
        <v>340</v>
      </c>
      <c r="O328" s="4" t="s">
        <v>754</v>
      </c>
      <c r="P328" s="5">
        <v>8</v>
      </c>
      <c r="Q328" s="5" t="s">
        <v>340</v>
      </c>
      <c r="R328" s="4" t="s">
        <v>184</v>
      </c>
      <c r="S328" s="4" t="s">
        <v>1121</v>
      </c>
      <c r="T328" s="7">
        <v>4000</v>
      </c>
      <c r="U328" s="7">
        <v>4128</v>
      </c>
      <c r="V328" s="7">
        <v>4234</v>
      </c>
      <c r="W328" s="15" t="s">
        <v>928</v>
      </c>
      <c r="X328" s="15" t="s">
        <v>1357</v>
      </c>
      <c r="Y328" s="7" t="s">
        <v>340</v>
      </c>
      <c r="Z328" s="7" t="s">
        <v>340</v>
      </c>
      <c r="AA328" s="7" t="s">
        <v>340</v>
      </c>
      <c r="AB328" s="7" t="s">
        <v>340</v>
      </c>
      <c r="AC328" s="7" t="s">
        <v>340</v>
      </c>
      <c r="AD328" s="7" t="s">
        <v>340</v>
      </c>
      <c r="AE328" s="7">
        <v>4131</v>
      </c>
      <c r="AF328" s="7">
        <v>56</v>
      </c>
      <c r="AG328" s="7" t="s">
        <v>340</v>
      </c>
      <c r="AH328" s="5">
        <v>1</v>
      </c>
      <c r="AI328" s="5">
        <v>1</v>
      </c>
      <c r="AJ328" s="9">
        <f>IF(AND(ISNUMBER(F328),ISNUMBER(G328),ISNUMBER(K328),ISNUMBER(L328)),ACOS(MIN(1,COS(RADIANS(90-F328))*COS(RADIANS(90-K328))+SIN(RADIANS(90-F328))*SIN(RADIANS(90-K328))*COS(RADIANS(G328-L328))))*6371,"N/A")</f>
        <v>295.96166769765352</v>
      </c>
      <c r="AK328" s="10">
        <f>IF(AND(ISNUMBER(F328),ISNUMBER(G328),ISNUMBER(K328),ISNUMBER(L328)),MOD(DEGREES(ATAN2(COS(RADIANS(K328))*SIN(RADIANS(F328))-SIN(RADIANS(K328))*COS(RADIANS(F328))*COS(RADIANS(G328-L328)),SIN(RADIANS(G328-L328))*COS(RADIANS(F328))))+360,360),"N/A")</f>
        <v>78.98803792073727</v>
      </c>
      <c r="AL328" s="10" t="str">
        <f>IF(AND(ISNUMBER(F328),ISNUMBER(G328),ISNUMBER(M328),ISNUMBER(N328)),ACOS(MIN(1,COS(RADIANS(90-F328))*COS(RADIANS(90-M328))+SIN(RADIANS(90-F328))*SIN(RADIANS(90-M328))*COS(RADIANS(G328-N328))))*6371,"N/A")</f>
        <v>N/A</v>
      </c>
      <c r="AM328" s="10" t="str">
        <f>IF(AND(ISNUMBER(F328),ISNUMBER(G328),ISNUMBER(M328),ISNUMBER(N328)),MOD(DEGREES(ATAN2(COS(RADIANS(M328))*SIN(RADIANS(F328))-SIN(RADIANS(M328))*COS(RADIANS(F328))*COS(RADIANS(G328-N328)),SIN(RADIANS(G328-N328))*COS(RADIANS(F328))))+360,360),"N/A")</f>
        <v>N/A</v>
      </c>
      <c r="AN328" s="2"/>
      <c r="AO328" s="2"/>
    </row>
    <row r="329" spans="1:41" x14ac:dyDescent="0.2">
      <c r="A329" s="4" t="s">
        <v>755</v>
      </c>
      <c r="B329" s="4" t="s">
        <v>726</v>
      </c>
      <c r="C329" s="5" t="s">
        <v>340</v>
      </c>
      <c r="D329" s="4" t="s">
        <v>70</v>
      </c>
      <c r="E329" s="4" t="s">
        <v>71</v>
      </c>
      <c r="F329" s="15">
        <v>41.283399000000003</v>
      </c>
      <c r="G329" s="15">
        <v>17.616657</v>
      </c>
      <c r="H329" s="16">
        <v>-1013</v>
      </c>
      <c r="I329" s="4" t="s">
        <v>981</v>
      </c>
      <c r="J329" s="4" t="s">
        <v>15</v>
      </c>
      <c r="K329" s="6">
        <v>40.826999999999998</v>
      </c>
      <c r="L329" s="6">
        <v>14.138999999999999</v>
      </c>
      <c r="M329" s="5" t="s">
        <v>340</v>
      </c>
      <c r="N329" s="5" t="s">
        <v>340</v>
      </c>
      <c r="O329" s="4" t="s">
        <v>754</v>
      </c>
      <c r="P329" s="5">
        <v>13</v>
      </c>
      <c r="Q329" s="5" t="s">
        <v>340</v>
      </c>
      <c r="R329" s="4" t="s">
        <v>184</v>
      </c>
      <c r="S329" s="4" t="s">
        <v>1121</v>
      </c>
      <c r="T329" s="7">
        <v>4000</v>
      </c>
      <c r="U329" s="7">
        <v>4128</v>
      </c>
      <c r="V329" s="7">
        <v>4234</v>
      </c>
      <c r="W329" s="15" t="s">
        <v>928</v>
      </c>
      <c r="X329" s="15" t="s">
        <v>1357</v>
      </c>
      <c r="Y329" s="7" t="s">
        <v>340</v>
      </c>
      <c r="Z329" s="7" t="s">
        <v>340</v>
      </c>
      <c r="AA329" s="7" t="s">
        <v>340</v>
      </c>
      <c r="AB329" s="7" t="s">
        <v>340</v>
      </c>
      <c r="AC329" s="7" t="s">
        <v>340</v>
      </c>
      <c r="AD329" s="7" t="s">
        <v>340</v>
      </c>
      <c r="AE329" s="7">
        <v>4131</v>
      </c>
      <c r="AF329" s="7">
        <v>56</v>
      </c>
      <c r="AG329" s="7" t="s">
        <v>340</v>
      </c>
      <c r="AH329" s="5">
        <v>1</v>
      </c>
      <c r="AI329" s="5">
        <v>1</v>
      </c>
      <c r="AJ329" s="9">
        <f>IF(AND(ISNUMBER(F329),ISNUMBER(G329),ISNUMBER(K329),ISNUMBER(L329)),ACOS(MIN(1,COS(RADIANS(90-F329))*COS(RADIANS(90-K329))+SIN(RADIANS(90-F329))*SIN(RADIANS(90-K329))*COS(RADIANS(G329-L329))))*6371,"N/A")</f>
        <v>295.96166769765352</v>
      </c>
      <c r="AK329" s="10">
        <f>IF(AND(ISNUMBER(F329),ISNUMBER(G329),ISNUMBER(K329),ISNUMBER(L329)),MOD(DEGREES(ATAN2(COS(RADIANS(K329))*SIN(RADIANS(F329))-SIN(RADIANS(K329))*COS(RADIANS(F329))*COS(RADIANS(G329-L329)),SIN(RADIANS(G329-L329))*COS(RADIANS(F329))))+360,360),"N/A")</f>
        <v>78.98803792073727</v>
      </c>
      <c r="AL329" s="10" t="str">
        <f>IF(AND(ISNUMBER(F329),ISNUMBER(G329),ISNUMBER(M329),ISNUMBER(N329)),ACOS(MIN(1,COS(RADIANS(90-F329))*COS(RADIANS(90-M329))+SIN(RADIANS(90-F329))*SIN(RADIANS(90-M329))*COS(RADIANS(G329-N329))))*6371,"N/A")</f>
        <v>N/A</v>
      </c>
      <c r="AM329" s="10" t="str">
        <f>IF(AND(ISNUMBER(F329),ISNUMBER(G329),ISNUMBER(M329),ISNUMBER(N329)),MOD(DEGREES(ATAN2(COS(RADIANS(M329))*SIN(RADIANS(F329))-SIN(RADIANS(M329))*COS(RADIANS(F329))*COS(RADIANS(G329-N329)),SIN(RADIANS(G329-N329))*COS(RADIANS(F329))))+360,360),"N/A")</f>
        <v>N/A</v>
      </c>
      <c r="AN329" s="2"/>
      <c r="AO329" s="2"/>
    </row>
    <row r="330" spans="1:41" x14ac:dyDescent="0.2">
      <c r="A330" s="4" t="s">
        <v>747</v>
      </c>
      <c r="B330" s="4" t="s">
        <v>728</v>
      </c>
      <c r="C330" s="5" t="s">
        <v>340</v>
      </c>
      <c r="D330" s="4" t="s">
        <v>70</v>
      </c>
      <c r="E330" s="4" t="s">
        <v>71</v>
      </c>
      <c r="F330" s="15">
        <v>41.283222000000002</v>
      </c>
      <c r="G330" s="15">
        <v>17.616797999999999</v>
      </c>
      <c r="H330" s="16">
        <v>-1013</v>
      </c>
      <c r="I330" s="4" t="s">
        <v>981</v>
      </c>
      <c r="J330" s="4" t="s">
        <v>15</v>
      </c>
      <c r="K330" s="6">
        <v>40.826999999999998</v>
      </c>
      <c r="L330" s="6">
        <v>14.138999999999999</v>
      </c>
      <c r="M330" s="5" t="s">
        <v>340</v>
      </c>
      <c r="N330" s="5" t="s">
        <v>340</v>
      </c>
      <c r="O330" s="4" t="s">
        <v>445</v>
      </c>
      <c r="P330" s="5">
        <v>8</v>
      </c>
      <c r="Q330" s="5" t="s">
        <v>340</v>
      </c>
      <c r="R330" s="4" t="s">
        <v>184</v>
      </c>
      <c r="S330" s="4" t="s">
        <v>1121</v>
      </c>
      <c r="T330" s="7">
        <v>15346</v>
      </c>
      <c r="U330" s="7">
        <v>15644</v>
      </c>
      <c r="V330" s="7">
        <v>15941</v>
      </c>
      <c r="W330" s="15" t="s">
        <v>1091</v>
      </c>
      <c r="X330" s="15" t="s">
        <v>1364</v>
      </c>
      <c r="Y330" s="7">
        <v>13070</v>
      </c>
      <c r="Z330" s="7">
        <v>90</v>
      </c>
      <c r="AA330" s="7" t="s">
        <v>340</v>
      </c>
      <c r="AB330" s="7" t="s">
        <v>340</v>
      </c>
      <c r="AC330" s="7" t="s">
        <v>340</v>
      </c>
      <c r="AD330" s="7" t="s">
        <v>340</v>
      </c>
      <c r="AE330" s="7" t="s">
        <v>340</v>
      </c>
      <c r="AF330" s="7" t="s">
        <v>340</v>
      </c>
      <c r="AG330" s="7" t="s">
        <v>340</v>
      </c>
      <c r="AH330" s="5">
        <v>1</v>
      </c>
      <c r="AI330" s="5">
        <v>1</v>
      </c>
      <c r="AJ330" s="9">
        <f>IF(AND(ISNUMBER(F330),ISNUMBER(G330),ISNUMBER(K330),ISNUMBER(L330)),ACOS(MIN(1,COS(RADIANS(90-F330))*COS(RADIANS(90-K330))+SIN(RADIANS(90-F330))*SIN(RADIANS(90-K330))*COS(RADIANS(G330-L330))))*6371,"N/A")</f>
        <v>295.97032738902527</v>
      </c>
      <c r="AK330" s="10">
        <f>IF(AND(ISNUMBER(F330),ISNUMBER(G330),ISNUMBER(K330),ISNUMBER(L330)),MOD(DEGREES(ATAN2(COS(RADIANS(K330))*SIN(RADIANS(F330))-SIN(RADIANS(K330))*COS(RADIANS(F330))*COS(RADIANS(G330-L330)),SIN(RADIANS(G330-L330))*COS(RADIANS(F330))))+360,360),"N/A")</f>
        <v>78.992151423395626</v>
      </c>
      <c r="AL330" s="10" t="str">
        <f>IF(AND(ISNUMBER(F330),ISNUMBER(G330),ISNUMBER(M330),ISNUMBER(N330)),ACOS(MIN(1,COS(RADIANS(90-F330))*COS(RADIANS(90-M330))+SIN(RADIANS(90-F330))*SIN(RADIANS(90-M330))*COS(RADIANS(G330-N330))))*6371,"N/A")</f>
        <v>N/A</v>
      </c>
      <c r="AM330" s="10" t="str">
        <f>IF(AND(ISNUMBER(F330),ISNUMBER(G330),ISNUMBER(M330),ISNUMBER(N330)),MOD(DEGREES(ATAN2(COS(RADIANS(M330))*SIN(RADIANS(F330))-SIN(RADIANS(M330))*COS(RADIANS(F330))*COS(RADIANS(G330-N330)),SIN(RADIANS(G330-N330))*COS(RADIANS(F330))))+360,360),"N/A")</f>
        <v>N/A</v>
      </c>
      <c r="AN330" s="2"/>
      <c r="AO330" s="2"/>
    </row>
    <row r="331" spans="1:41" x14ac:dyDescent="0.2">
      <c r="A331" s="4" t="s">
        <v>743</v>
      </c>
      <c r="B331" s="4" t="s">
        <v>728</v>
      </c>
      <c r="C331" s="5" t="s">
        <v>340</v>
      </c>
      <c r="D331" s="4" t="s">
        <v>70</v>
      </c>
      <c r="E331" s="4" t="s">
        <v>71</v>
      </c>
      <c r="F331" s="15">
        <v>41.283222000000002</v>
      </c>
      <c r="G331" s="15">
        <v>17.616797999999999</v>
      </c>
      <c r="H331" s="16">
        <v>-1013</v>
      </c>
      <c r="I331" s="4" t="s">
        <v>981</v>
      </c>
      <c r="J331" s="4" t="s">
        <v>15</v>
      </c>
      <c r="K331" s="6">
        <v>40.826999999999998</v>
      </c>
      <c r="L331" s="6">
        <v>14.138999999999999</v>
      </c>
      <c r="M331" s="5" t="s">
        <v>340</v>
      </c>
      <c r="N331" s="5" t="s">
        <v>340</v>
      </c>
      <c r="O331" s="4" t="s">
        <v>445</v>
      </c>
      <c r="P331" s="5">
        <v>8</v>
      </c>
      <c r="Q331" s="5" t="s">
        <v>340</v>
      </c>
      <c r="R331" s="4" t="s">
        <v>184</v>
      </c>
      <c r="S331" s="4" t="s">
        <v>1121</v>
      </c>
      <c r="T331" s="7">
        <v>15346</v>
      </c>
      <c r="U331" s="7">
        <v>15644</v>
      </c>
      <c r="V331" s="7">
        <v>15941</v>
      </c>
      <c r="W331" s="15" t="s">
        <v>1091</v>
      </c>
      <c r="X331" s="15" t="s">
        <v>1364</v>
      </c>
      <c r="Y331" s="7">
        <v>13070</v>
      </c>
      <c r="Z331" s="7">
        <v>90</v>
      </c>
      <c r="AA331" s="7" t="s">
        <v>340</v>
      </c>
      <c r="AB331" s="7" t="s">
        <v>340</v>
      </c>
      <c r="AC331" s="7" t="s">
        <v>340</v>
      </c>
      <c r="AD331" s="7" t="s">
        <v>340</v>
      </c>
      <c r="AE331" s="7" t="s">
        <v>340</v>
      </c>
      <c r="AF331" s="7" t="s">
        <v>340</v>
      </c>
      <c r="AG331" s="7" t="s">
        <v>340</v>
      </c>
      <c r="AH331" s="5">
        <v>1</v>
      </c>
      <c r="AI331" s="5">
        <v>1</v>
      </c>
      <c r="AJ331" s="9">
        <f>IF(AND(ISNUMBER(F331),ISNUMBER(G331),ISNUMBER(K331),ISNUMBER(L331)),ACOS(MIN(1,COS(RADIANS(90-F331))*COS(RADIANS(90-K331))+SIN(RADIANS(90-F331))*SIN(RADIANS(90-K331))*COS(RADIANS(G331-L331))))*6371,"N/A")</f>
        <v>295.97032738902527</v>
      </c>
      <c r="AK331" s="10">
        <f>IF(AND(ISNUMBER(F331),ISNUMBER(G331),ISNUMBER(K331),ISNUMBER(L331)),MOD(DEGREES(ATAN2(COS(RADIANS(K331))*SIN(RADIANS(F331))-SIN(RADIANS(K331))*COS(RADIANS(F331))*COS(RADIANS(G331-L331)),SIN(RADIANS(G331-L331))*COS(RADIANS(F331))))+360,360),"N/A")</f>
        <v>78.992151423395626</v>
      </c>
      <c r="AL331" s="10" t="str">
        <f>IF(AND(ISNUMBER(F331),ISNUMBER(G331),ISNUMBER(M331),ISNUMBER(N331)),ACOS(MIN(1,COS(RADIANS(90-F331))*COS(RADIANS(90-M331))+SIN(RADIANS(90-F331))*SIN(RADIANS(90-M331))*COS(RADIANS(G331-N331))))*6371,"N/A")</f>
        <v>N/A</v>
      </c>
      <c r="AM331" s="10" t="str">
        <f>IF(AND(ISNUMBER(F331),ISNUMBER(G331),ISNUMBER(M331),ISNUMBER(N331)),MOD(DEGREES(ATAN2(COS(RADIANS(M331))*SIN(RADIANS(F331))-SIN(RADIANS(M331))*COS(RADIANS(F331))*COS(RADIANS(G331-N331)),SIN(RADIANS(G331-N331))*COS(RADIANS(F331))))+360,360),"N/A")</f>
        <v>N/A</v>
      </c>
      <c r="AN331" s="2"/>
      <c r="AO331" s="2"/>
    </row>
    <row r="332" spans="1:41" x14ac:dyDescent="0.2">
      <c r="A332" s="4" t="s">
        <v>741</v>
      </c>
      <c r="B332" s="4" t="s">
        <v>728</v>
      </c>
      <c r="C332" s="5" t="s">
        <v>340</v>
      </c>
      <c r="D332" s="4" t="s">
        <v>70</v>
      </c>
      <c r="E332" s="4" t="s">
        <v>71</v>
      </c>
      <c r="F332" s="15">
        <v>41.283222000000002</v>
      </c>
      <c r="G332" s="15">
        <v>17.616797999999999</v>
      </c>
      <c r="H332" s="16">
        <v>-1013</v>
      </c>
      <c r="I332" s="4" t="s">
        <v>981</v>
      </c>
      <c r="J332" s="4" t="s">
        <v>15</v>
      </c>
      <c r="K332" s="6">
        <v>40.826999999999998</v>
      </c>
      <c r="L332" s="6">
        <v>14.138999999999999</v>
      </c>
      <c r="M332" s="5" t="s">
        <v>340</v>
      </c>
      <c r="N332" s="5" t="s">
        <v>340</v>
      </c>
      <c r="O332" s="4" t="s">
        <v>20</v>
      </c>
      <c r="P332" s="5">
        <v>19</v>
      </c>
      <c r="Q332" s="5" t="s">
        <v>340</v>
      </c>
      <c r="R332" s="4" t="s">
        <v>184</v>
      </c>
      <c r="S332" s="4" t="s">
        <v>1121</v>
      </c>
      <c r="T332" s="7">
        <v>13761</v>
      </c>
      <c r="U332" s="7">
        <v>14029</v>
      </c>
      <c r="V332" s="7">
        <v>14356</v>
      </c>
      <c r="W332" s="15" t="s">
        <v>933</v>
      </c>
      <c r="X332" s="15" t="s">
        <v>1358</v>
      </c>
      <c r="Y332" s="7" t="s">
        <v>340</v>
      </c>
      <c r="Z332" s="7" t="s">
        <v>340</v>
      </c>
      <c r="AA332" s="7" t="s">
        <v>340</v>
      </c>
      <c r="AB332" s="7" t="s">
        <v>340</v>
      </c>
      <c r="AC332" s="7">
        <v>14120</v>
      </c>
      <c r="AD332" s="7">
        <v>710</v>
      </c>
      <c r="AE332" s="7">
        <v>14037</v>
      </c>
      <c r="AF332" s="7">
        <v>156</v>
      </c>
      <c r="AG332" s="7" t="s">
        <v>340</v>
      </c>
      <c r="AH332" s="5">
        <v>1</v>
      </c>
      <c r="AI332" s="5">
        <v>1</v>
      </c>
      <c r="AJ332" s="9">
        <f>IF(AND(ISNUMBER(F332),ISNUMBER(G332),ISNUMBER(K332),ISNUMBER(L332)),ACOS(MIN(1,COS(RADIANS(90-F332))*COS(RADIANS(90-K332))+SIN(RADIANS(90-F332))*SIN(RADIANS(90-K332))*COS(RADIANS(G332-L332))))*6371,"N/A")</f>
        <v>295.97032738902527</v>
      </c>
      <c r="AK332" s="10">
        <f>IF(AND(ISNUMBER(F332),ISNUMBER(G332),ISNUMBER(K332),ISNUMBER(L332)),MOD(DEGREES(ATAN2(COS(RADIANS(K332))*SIN(RADIANS(F332))-SIN(RADIANS(K332))*COS(RADIANS(F332))*COS(RADIANS(G332-L332)),SIN(RADIANS(G332-L332))*COS(RADIANS(F332))))+360,360),"N/A")</f>
        <v>78.992151423395626</v>
      </c>
      <c r="AL332" s="10" t="str">
        <f>IF(AND(ISNUMBER(F332),ISNUMBER(G332),ISNUMBER(M332),ISNUMBER(N332)),ACOS(MIN(1,COS(RADIANS(90-F332))*COS(RADIANS(90-M332))+SIN(RADIANS(90-F332))*SIN(RADIANS(90-M332))*COS(RADIANS(G332-N332))))*6371,"N/A")</f>
        <v>N/A</v>
      </c>
      <c r="AM332" s="10" t="str">
        <f>IF(AND(ISNUMBER(F332),ISNUMBER(G332),ISNUMBER(M332),ISNUMBER(N332)),MOD(DEGREES(ATAN2(COS(RADIANS(M332))*SIN(RADIANS(F332))-SIN(RADIANS(M332))*COS(RADIANS(F332))*COS(RADIANS(G332-N332)),SIN(RADIANS(G332-N332))*COS(RADIANS(F332))))+360,360),"N/A")</f>
        <v>N/A</v>
      </c>
      <c r="AN332" s="2"/>
      <c r="AO332" s="2"/>
    </row>
    <row r="333" spans="1:41" x14ac:dyDescent="0.2">
      <c r="A333" s="4" t="s">
        <v>749</v>
      </c>
      <c r="B333" s="4" t="s">
        <v>726</v>
      </c>
      <c r="C333" s="5" t="s">
        <v>340</v>
      </c>
      <c r="D333" s="4" t="s">
        <v>70</v>
      </c>
      <c r="E333" s="4" t="s">
        <v>71</v>
      </c>
      <c r="F333" s="15">
        <v>41.283399000000003</v>
      </c>
      <c r="G333" s="15">
        <v>17.616657</v>
      </c>
      <c r="H333" s="16">
        <v>-1013</v>
      </c>
      <c r="I333" s="4" t="s">
        <v>981</v>
      </c>
      <c r="J333" s="4" t="s">
        <v>15</v>
      </c>
      <c r="K333" s="6">
        <v>40.826999999999998</v>
      </c>
      <c r="L333" s="6">
        <v>14.138999999999999</v>
      </c>
      <c r="M333" s="5" t="s">
        <v>340</v>
      </c>
      <c r="N333" s="5" t="s">
        <v>340</v>
      </c>
      <c r="O333" s="4" t="s">
        <v>751</v>
      </c>
      <c r="P333" s="5">
        <v>4</v>
      </c>
      <c r="Q333" s="5" t="s">
        <v>340</v>
      </c>
      <c r="R333" s="4" t="s">
        <v>184</v>
      </c>
      <c r="S333" s="4" t="s">
        <v>1121</v>
      </c>
      <c r="T333" s="7">
        <v>11557</v>
      </c>
      <c r="U333" s="7">
        <v>11910</v>
      </c>
      <c r="V333" s="7">
        <v>12262</v>
      </c>
      <c r="W333" s="15" t="s">
        <v>928</v>
      </c>
      <c r="X333" s="15" t="s">
        <v>1357</v>
      </c>
      <c r="Y333" s="7" t="s">
        <v>340</v>
      </c>
      <c r="Z333" s="7" t="s">
        <v>340</v>
      </c>
      <c r="AA333" s="7" t="s">
        <v>340</v>
      </c>
      <c r="AB333" s="7" t="s">
        <v>340</v>
      </c>
      <c r="AC333" s="7" t="s">
        <v>340</v>
      </c>
      <c r="AD333" s="7" t="s">
        <v>340</v>
      </c>
      <c r="AE333" s="7">
        <v>11906</v>
      </c>
      <c r="AF333" s="7">
        <v>176</v>
      </c>
      <c r="AG333" s="7" t="s">
        <v>340</v>
      </c>
      <c r="AH333" s="5">
        <v>1</v>
      </c>
      <c r="AI333" s="5">
        <v>1</v>
      </c>
      <c r="AJ333" s="9">
        <f>IF(AND(ISNUMBER(F333),ISNUMBER(G333),ISNUMBER(K333),ISNUMBER(L333)),ACOS(MIN(1,COS(RADIANS(90-F333))*COS(RADIANS(90-K333))+SIN(RADIANS(90-F333))*SIN(RADIANS(90-K333))*COS(RADIANS(G333-L333))))*6371,"N/A")</f>
        <v>295.96166769765352</v>
      </c>
      <c r="AK333" s="10">
        <f>IF(AND(ISNUMBER(F333),ISNUMBER(G333),ISNUMBER(K333),ISNUMBER(L333)),MOD(DEGREES(ATAN2(COS(RADIANS(K333))*SIN(RADIANS(F333))-SIN(RADIANS(K333))*COS(RADIANS(F333))*COS(RADIANS(G333-L333)),SIN(RADIANS(G333-L333))*COS(RADIANS(F333))))+360,360),"N/A")</f>
        <v>78.98803792073727</v>
      </c>
      <c r="AL333" s="10" t="str">
        <f>IF(AND(ISNUMBER(F333),ISNUMBER(G333),ISNUMBER(M333),ISNUMBER(N333)),ACOS(MIN(1,COS(RADIANS(90-F333))*COS(RADIANS(90-M333))+SIN(RADIANS(90-F333))*SIN(RADIANS(90-M333))*COS(RADIANS(G333-N333))))*6371,"N/A")</f>
        <v>N/A</v>
      </c>
      <c r="AM333" s="10" t="str">
        <f>IF(AND(ISNUMBER(F333),ISNUMBER(G333),ISNUMBER(M333),ISNUMBER(N333)),MOD(DEGREES(ATAN2(COS(RADIANS(M333))*SIN(RADIANS(F333))-SIN(RADIANS(M333))*COS(RADIANS(F333))*COS(RADIANS(G333-N333)),SIN(RADIANS(G333-N333))*COS(RADIANS(F333))))+360,360),"N/A")</f>
        <v>N/A</v>
      </c>
      <c r="AN333" s="2"/>
      <c r="AO333" s="2"/>
    </row>
    <row r="334" spans="1:41" x14ac:dyDescent="0.2">
      <c r="A334" s="4" t="s">
        <v>750</v>
      </c>
      <c r="B334" s="4" t="s">
        <v>726</v>
      </c>
      <c r="C334" s="5" t="s">
        <v>340</v>
      </c>
      <c r="D334" s="4" t="s">
        <v>70</v>
      </c>
      <c r="E334" s="4" t="s">
        <v>71</v>
      </c>
      <c r="F334" s="15">
        <v>41.283399000000003</v>
      </c>
      <c r="G334" s="15">
        <v>17.616657</v>
      </c>
      <c r="H334" s="16">
        <v>-1013</v>
      </c>
      <c r="I334" s="4" t="s">
        <v>981</v>
      </c>
      <c r="J334" s="4" t="s">
        <v>15</v>
      </c>
      <c r="K334" s="6">
        <v>40.826999999999998</v>
      </c>
      <c r="L334" s="6">
        <v>14.138999999999999</v>
      </c>
      <c r="M334" s="5" t="s">
        <v>340</v>
      </c>
      <c r="N334" s="5" t="s">
        <v>340</v>
      </c>
      <c r="O334" s="4" t="s">
        <v>232</v>
      </c>
      <c r="P334" s="5">
        <v>4</v>
      </c>
      <c r="Q334" s="5" t="s">
        <v>340</v>
      </c>
      <c r="R334" s="4" t="s">
        <v>184</v>
      </c>
      <c r="S334" s="4" t="s">
        <v>1121</v>
      </c>
      <c r="T334" s="7">
        <v>11860</v>
      </c>
      <c r="U334" s="7">
        <v>12096</v>
      </c>
      <c r="V334" s="7">
        <v>12396</v>
      </c>
      <c r="W334" s="15" t="s">
        <v>928</v>
      </c>
      <c r="X334" s="21" t="s">
        <v>1357</v>
      </c>
      <c r="Y334" s="7" t="s">
        <v>340</v>
      </c>
      <c r="Z334" s="7" t="s">
        <v>340</v>
      </c>
      <c r="AA334" s="7" t="s">
        <v>340</v>
      </c>
      <c r="AB334" s="7" t="s">
        <v>340</v>
      </c>
      <c r="AC334" s="7">
        <v>12180</v>
      </c>
      <c r="AD334" s="7">
        <v>610</v>
      </c>
      <c r="AE334" s="7">
        <v>12104</v>
      </c>
      <c r="AF334" s="7">
        <v>141</v>
      </c>
      <c r="AG334" s="7" t="s">
        <v>340</v>
      </c>
      <c r="AH334" s="5">
        <v>1</v>
      </c>
      <c r="AI334" s="5">
        <v>1</v>
      </c>
      <c r="AJ334" s="9">
        <f>IF(AND(ISNUMBER(F334),ISNUMBER(G334),ISNUMBER(K334),ISNUMBER(L334)),ACOS(MIN(1,COS(RADIANS(90-F334))*COS(RADIANS(90-K334))+SIN(RADIANS(90-F334))*SIN(RADIANS(90-K334))*COS(RADIANS(G334-L334))))*6371,"N/A")</f>
        <v>295.96166769765352</v>
      </c>
      <c r="AK334" s="10">
        <f>IF(AND(ISNUMBER(F334),ISNUMBER(G334),ISNUMBER(K334),ISNUMBER(L334)),MOD(DEGREES(ATAN2(COS(RADIANS(K334))*SIN(RADIANS(F334))-SIN(RADIANS(K334))*COS(RADIANS(F334))*COS(RADIANS(G334-L334)),SIN(RADIANS(G334-L334))*COS(RADIANS(F334))))+360,360),"N/A")</f>
        <v>78.98803792073727</v>
      </c>
      <c r="AL334" s="10" t="str">
        <f>IF(AND(ISNUMBER(F334),ISNUMBER(G334),ISNUMBER(M334),ISNUMBER(N334)),ACOS(MIN(1,COS(RADIANS(90-F334))*COS(RADIANS(90-M334))+SIN(RADIANS(90-F334))*SIN(RADIANS(90-M334))*COS(RADIANS(G334-N334))))*6371,"N/A")</f>
        <v>N/A</v>
      </c>
      <c r="AM334" s="10" t="str">
        <f>IF(AND(ISNUMBER(F334),ISNUMBER(G334),ISNUMBER(M334),ISNUMBER(N334)),MOD(DEGREES(ATAN2(COS(RADIANS(M334))*SIN(RADIANS(F334))-SIN(RADIANS(M334))*COS(RADIANS(F334))*COS(RADIANS(G334-N334)),SIN(RADIANS(G334-N334))*COS(RADIANS(F334))))+360,360),"N/A")</f>
        <v>N/A</v>
      </c>
      <c r="AN334" s="2"/>
      <c r="AO334" s="2"/>
    </row>
    <row r="335" spans="1:41" x14ac:dyDescent="0.2">
      <c r="A335" s="4" t="s">
        <v>734</v>
      </c>
      <c r="B335" s="4" t="s">
        <v>726</v>
      </c>
      <c r="C335" s="5" t="s">
        <v>340</v>
      </c>
      <c r="D335" s="4" t="s">
        <v>70</v>
      </c>
      <c r="E335" s="4" t="s">
        <v>71</v>
      </c>
      <c r="F335" s="15">
        <v>41.283399000000003</v>
      </c>
      <c r="G335" s="15">
        <v>17.616657</v>
      </c>
      <c r="H335" s="16">
        <v>-1013</v>
      </c>
      <c r="I335" s="4" t="s">
        <v>981</v>
      </c>
      <c r="J335" s="4" t="s">
        <v>15</v>
      </c>
      <c r="K335" s="6">
        <v>40.826999999999998</v>
      </c>
      <c r="L335" s="6">
        <v>14.138999999999999</v>
      </c>
      <c r="M335" s="5" t="s">
        <v>340</v>
      </c>
      <c r="N335" s="5" t="s">
        <v>340</v>
      </c>
      <c r="O335" s="4" t="s">
        <v>232</v>
      </c>
      <c r="P335" s="5">
        <v>22</v>
      </c>
      <c r="Q335" s="5" t="s">
        <v>340</v>
      </c>
      <c r="R335" s="4" t="s">
        <v>184</v>
      </c>
      <c r="S335" s="4" t="s">
        <v>1121</v>
      </c>
      <c r="T335" s="7">
        <v>11860</v>
      </c>
      <c r="U335" s="7">
        <v>12096</v>
      </c>
      <c r="V335" s="7">
        <v>12396</v>
      </c>
      <c r="W335" s="15" t="s">
        <v>928</v>
      </c>
      <c r="X335" s="21" t="s">
        <v>1357</v>
      </c>
      <c r="Y335" s="7" t="s">
        <v>340</v>
      </c>
      <c r="Z335" s="7" t="s">
        <v>340</v>
      </c>
      <c r="AA335" s="7" t="s">
        <v>340</v>
      </c>
      <c r="AB335" s="7" t="s">
        <v>340</v>
      </c>
      <c r="AC335" s="7">
        <v>12180</v>
      </c>
      <c r="AD335" s="7">
        <v>610</v>
      </c>
      <c r="AE335" s="7">
        <v>12104</v>
      </c>
      <c r="AF335" s="7">
        <v>141</v>
      </c>
      <c r="AG335" s="7" t="s">
        <v>340</v>
      </c>
      <c r="AH335" s="5">
        <v>1</v>
      </c>
      <c r="AI335" s="5">
        <v>1</v>
      </c>
      <c r="AJ335" s="9">
        <f>IF(AND(ISNUMBER(F335),ISNUMBER(G335),ISNUMBER(K335),ISNUMBER(L335)),ACOS(MIN(1,COS(RADIANS(90-F335))*COS(RADIANS(90-K335))+SIN(RADIANS(90-F335))*SIN(RADIANS(90-K335))*COS(RADIANS(G335-L335))))*6371,"N/A")</f>
        <v>295.96166769765352</v>
      </c>
      <c r="AK335" s="10">
        <f>IF(AND(ISNUMBER(F335),ISNUMBER(G335),ISNUMBER(K335),ISNUMBER(L335)),MOD(DEGREES(ATAN2(COS(RADIANS(K335))*SIN(RADIANS(F335))-SIN(RADIANS(K335))*COS(RADIANS(F335))*COS(RADIANS(G335-L335)),SIN(RADIANS(G335-L335))*COS(RADIANS(F335))))+360,360),"N/A")</f>
        <v>78.98803792073727</v>
      </c>
      <c r="AL335" s="10" t="str">
        <f>IF(AND(ISNUMBER(F335),ISNUMBER(G335),ISNUMBER(M335),ISNUMBER(N335)),ACOS(MIN(1,COS(RADIANS(90-F335))*COS(RADIANS(90-M335))+SIN(RADIANS(90-F335))*SIN(RADIANS(90-M335))*COS(RADIANS(G335-N335))))*6371,"N/A")</f>
        <v>N/A</v>
      </c>
      <c r="AM335" s="10" t="str">
        <f>IF(AND(ISNUMBER(F335),ISNUMBER(G335),ISNUMBER(M335),ISNUMBER(N335)),MOD(DEGREES(ATAN2(COS(RADIANS(M335))*SIN(RADIANS(F335))-SIN(RADIANS(M335))*COS(RADIANS(F335))*COS(RADIANS(G335-N335)),SIN(RADIANS(G335-N335))*COS(RADIANS(F335))))+360,360),"N/A")</f>
        <v>N/A</v>
      </c>
      <c r="AN335" s="2"/>
      <c r="AO335" s="2"/>
    </row>
    <row r="336" spans="1:41" x14ac:dyDescent="0.2">
      <c r="A336" s="4" t="s">
        <v>742</v>
      </c>
      <c r="B336" s="4" t="s">
        <v>728</v>
      </c>
      <c r="C336" s="5" t="s">
        <v>340</v>
      </c>
      <c r="D336" s="4" t="s">
        <v>70</v>
      </c>
      <c r="E336" s="4" t="s">
        <v>71</v>
      </c>
      <c r="F336" s="15">
        <v>41.283222000000002</v>
      </c>
      <c r="G336" s="15">
        <v>17.616797999999999</v>
      </c>
      <c r="H336" s="16">
        <v>-1013</v>
      </c>
      <c r="I336" s="4" t="s">
        <v>981</v>
      </c>
      <c r="J336" s="4" t="s">
        <v>15</v>
      </c>
      <c r="K336" s="6">
        <v>40.826999999999998</v>
      </c>
      <c r="L336" s="6">
        <v>14.138999999999999</v>
      </c>
      <c r="M336" s="5" t="s">
        <v>340</v>
      </c>
      <c r="N336" s="5" t="s">
        <v>340</v>
      </c>
      <c r="O336" s="4" t="s">
        <v>548</v>
      </c>
      <c r="P336" s="5">
        <v>34</v>
      </c>
      <c r="Q336" s="5" t="s">
        <v>340</v>
      </c>
      <c r="R336" s="4" t="s">
        <v>184</v>
      </c>
      <c r="S336" s="4" t="s">
        <v>748</v>
      </c>
      <c r="T336" s="7">
        <v>14670</v>
      </c>
      <c r="U336" s="7">
        <v>14967</v>
      </c>
      <c r="V336" s="7">
        <v>15227</v>
      </c>
      <c r="W336" s="15" t="s">
        <v>1352</v>
      </c>
      <c r="X336" s="21" t="s">
        <v>1050</v>
      </c>
      <c r="Y336" s="7">
        <v>12870</v>
      </c>
      <c r="Z336" s="7">
        <v>100</v>
      </c>
      <c r="AA336" s="7" t="s">
        <v>340</v>
      </c>
      <c r="AB336" s="7" t="s">
        <v>340</v>
      </c>
      <c r="AC336" s="7">
        <v>14560</v>
      </c>
      <c r="AD336" s="7">
        <v>730</v>
      </c>
      <c r="AE336" s="7">
        <v>14967</v>
      </c>
      <c r="AF336" s="7" t="s">
        <v>950</v>
      </c>
      <c r="AG336" s="7" t="s">
        <v>340</v>
      </c>
      <c r="AH336" s="5">
        <v>1</v>
      </c>
      <c r="AI336" s="5">
        <v>1</v>
      </c>
      <c r="AJ336" s="9">
        <f>IF(AND(ISNUMBER(F336),ISNUMBER(G336),ISNUMBER(K336),ISNUMBER(L336)),ACOS(MIN(1,COS(RADIANS(90-F336))*COS(RADIANS(90-K336))+SIN(RADIANS(90-F336))*SIN(RADIANS(90-K336))*COS(RADIANS(G336-L336))))*6371,"N/A")</f>
        <v>295.97032738902527</v>
      </c>
      <c r="AK336" s="10">
        <f>IF(AND(ISNUMBER(F336),ISNUMBER(G336),ISNUMBER(K336),ISNUMBER(L336)),MOD(DEGREES(ATAN2(COS(RADIANS(K336))*SIN(RADIANS(F336))-SIN(RADIANS(K336))*COS(RADIANS(F336))*COS(RADIANS(G336-L336)),SIN(RADIANS(G336-L336))*COS(RADIANS(F336))))+360,360),"N/A")</f>
        <v>78.992151423395626</v>
      </c>
      <c r="AL336" s="10" t="str">
        <f>IF(AND(ISNUMBER(F336),ISNUMBER(G336),ISNUMBER(M336),ISNUMBER(N336)),ACOS(MIN(1,COS(RADIANS(90-F336))*COS(RADIANS(90-M336))+SIN(RADIANS(90-F336))*SIN(RADIANS(90-M336))*COS(RADIANS(G336-N336))))*6371,"N/A")</f>
        <v>N/A</v>
      </c>
      <c r="AM336" s="10" t="str">
        <f>IF(AND(ISNUMBER(F336),ISNUMBER(G336),ISNUMBER(M336),ISNUMBER(N336)),MOD(DEGREES(ATAN2(COS(RADIANS(M336))*SIN(RADIANS(F336))-SIN(RADIANS(M336))*COS(RADIANS(F336))*COS(RADIANS(G336-N336)),SIN(RADIANS(G336-N336))*COS(RADIANS(F336))))+360,360),"N/A")</f>
        <v>N/A</v>
      </c>
      <c r="AN336" s="2"/>
      <c r="AO336" s="2"/>
    </row>
    <row r="337" spans="1:41" x14ac:dyDescent="0.2">
      <c r="A337" s="4" t="s">
        <v>739</v>
      </c>
      <c r="B337" s="4" t="s">
        <v>728</v>
      </c>
      <c r="C337" s="5" t="s">
        <v>340</v>
      </c>
      <c r="D337" s="4" t="s">
        <v>70</v>
      </c>
      <c r="E337" s="4" t="s">
        <v>71</v>
      </c>
      <c r="F337" s="15">
        <v>41.283222000000002</v>
      </c>
      <c r="G337" s="15">
        <v>17.616797999999999</v>
      </c>
      <c r="H337" s="16">
        <v>-1013</v>
      </c>
      <c r="I337" s="4" t="s">
        <v>981</v>
      </c>
      <c r="J337" s="4" t="s">
        <v>53</v>
      </c>
      <c r="K337" s="6">
        <v>38.49</v>
      </c>
      <c r="L337" s="6">
        <v>14.933</v>
      </c>
      <c r="M337" s="5" t="s">
        <v>340</v>
      </c>
      <c r="N337" s="5" t="s">
        <v>340</v>
      </c>
      <c r="O337" s="4" t="s">
        <v>444</v>
      </c>
      <c r="P337" s="5">
        <v>15</v>
      </c>
      <c r="Q337" s="5" t="s">
        <v>340</v>
      </c>
      <c r="R337" s="4" t="s">
        <v>184</v>
      </c>
      <c r="S337" s="4" t="s">
        <v>1121</v>
      </c>
      <c r="T337" s="7">
        <v>7839</v>
      </c>
      <c r="U337" s="7">
        <v>8064</v>
      </c>
      <c r="V337" s="7">
        <v>8288</v>
      </c>
      <c r="W337" s="15" t="s">
        <v>1347</v>
      </c>
      <c r="X337" s="15" t="s">
        <v>1363</v>
      </c>
      <c r="Y337" s="7">
        <v>7770</v>
      </c>
      <c r="Z337" s="7">
        <v>70</v>
      </c>
      <c r="AA337" s="7" t="s">
        <v>340</v>
      </c>
      <c r="AB337" s="7" t="s">
        <v>340</v>
      </c>
      <c r="AC337" s="7" t="s">
        <v>340</v>
      </c>
      <c r="AD337" s="7" t="s">
        <v>340</v>
      </c>
      <c r="AE337" s="7" t="s">
        <v>340</v>
      </c>
      <c r="AF337" s="7" t="s">
        <v>340</v>
      </c>
      <c r="AG337" s="7" t="s">
        <v>340</v>
      </c>
      <c r="AH337" s="5">
        <v>1</v>
      </c>
      <c r="AI337" s="5">
        <v>1</v>
      </c>
      <c r="AJ337" s="9">
        <f>IF(AND(ISNUMBER(F337),ISNUMBER(G337),ISNUMBER(K337),ISNUMBER(L337)),ACOS(MIN(1,COS(RADIANS(90-F337))*COS(RADIANS(90-K337))+SIN(RADIANS(90-F337))*SIN(RADIANS(90-K337))*COS(RADIANS(G337-L337))))*6371,"N/A")</f>
        <v>385.83138011580667</v>
      </c>
      <c r="AK337" s="10">
        <f>IF(AND(ISNUMBER(F337),ISNUMBER(G337),ISNUMBER(K337),ISNUMBER(L337)),MOD(DEGREES(ATAN2(COS(RADIANS(K337))*SIN(RADIANS(F337))-SIN(RADIANS(K337))*COS(RADIANS(F337))*COS(RADIANS(G337-L337)),SIN(RADIANS(G337-L337))*COS(RADIANS(F337))))+360,360),"N/A")</f>
        <v>35.546549635691463</v>
      </c>
      <c r="AL337" s="10" t="str">
        <f>IF(AND(ISNUMBER(F337),ISNUMBER(G337),ISNUMBER(M337),ISNUMBER(N337)),ACOS(MIN(1,COS(RADIANS(90-F337))*COS(RADIANS(90-M337))+SIN(RADIANS(90-F337))*SIN(RADIANS(90-M337))*COS(RADIANS(G337-N337))))*6371,"N/A")</f>
        <v>N/A</v>
      </c>
      <c r="AM337" s="10" t="str">
        <f>IF(AND(ISNUMBER(F337),ISNUMBER(G337),ISNUMBER(M337),ISNUMBER(N337)),MOD(DEGREES(ATAN2(COS(RADIANS(M337))*SIN(RADIANS(F337))-SIN(RADIANS(M337))*COS(RADIANS(F337))*COS(RADIANS(G337-N337)),SIN(RADIANS(G337-N337))*COS(RADIANS(F337))))+360,360),"N/A")</f>
        <v>N/A</v>
      </c>
      <c r="AN337" s="2"/>
      <c r="AO337" s="2"/>
    </row>
    <row r="338" spans="1:41" x14ac:dyDescent="0.2">
      <c r="A338" s="4" t="s">
        <v>730</v>
      </c>
      <c r="B338" s="4" t="s">
        <v>726</v>
      </c>
      <c r="C338" s="5" t="s">
        <v>340</v>
      </c>
      <c r="D338" s="4" t="s">
        <v>70</v>
      </c>
      <c r="E338" s="4" t="s">
        <v>71</v>
      </c>
      <c r="F338" s="15">
        <v>41.283399000000003</v>
      </c>
      <c r="G338" s="15">
        <v>17.616657</v>
      </c>
      <c r="H338" s="16">
        <v>-1013</v>
      </c>
      <c r="I338" s="4" t="s">
        <v>981</v>
      </c>
      <c r="J338" s="4" t="s">
        <v>16</v>
      </c>
      <c r="K338" s="6">
        <v>40.820999999999998</v>
      </c>
      <c r="L338" s="6">
        <v>14.426</v>
      </c>
      <c r="M338" s="5" t="s">
        <v>340</v>
      </c>
      <c r="N338" s="5" t="s">
        <v>340</v>
      </c>
      <c r="O338" s="4" t="s">
        <v>762</v>
      </c>
      <c r="P338" s="5">
        <v>8</v>
      </c>
      <c r="Q338" s="5" t="s">
        <v>340</v>
      </c>
      <c r="R338" s="4" t="s">
        <v>184</v>
      </c>
      <c r="S338" s="4" t="s">
        <v>1121</v>
      </c>
      <c r="T338" s="7">
        <v>319</v>
      </c>
      <c r="U338" s="7">
        <v>319</v>
      </c>
      <c r="V338" s="7">
        <v>319</v>
      </c>
      <c r="W338" s="15" t="s">
        <v>898</v>
      </c>
      <c r="X338" s="15" t="s">
        <v>332</v>
      </c>
      <c r="Y338" s="7" t="s">
        <v>340</v>
      </c>
      <c r="Z338" s="7" t="s">
        <v>340</v>
      </c>
      <c r="AA338" s="7" t="s">
        <v>340</v>
      </c>
      <c r="AB338" s="7" t="s">
        <v>340</v>
      </c>
      <c r="AC338" s="7">
        <v>90</v>
      </c>
      <c r="AD338" s="7">
        <v>5</v>
      </c>
      <c r="AE338" s="7" t="s">
        <v>340</v>
      </c>
      <c r="AF338" s="7" t="s">
        <v>340</v>
      </c>
      <c r="AG338" s="7" t="s">
        <v>762</v>
      </c>
      <c r="AH338" s="5">
        <v>1</v>
      </c>
      <c r="AI338" s="5">
        <v>1</v>
      </c>
      <c r="AJ338" s="9">
        <f>IF(AND(ISNUMBER(F338),ISNUMBER(G338),ISNUMBER(K338),ISNUMBER(L338)),ACOS(MIN(1,COS(RADIANS(90-F338))*COS(RADIANS(90-K338))+SIN(RADIANS(90-F338))*SIN(RADIANS(90-K338))*COS(RADIANS(G338-L338))))*6371,"N/A")</f>
        <v>272.42612455394863</v>
      </c>
      <c r="AK338" s="10">
        <f>IF(AND(ISNUMBER(F338),ISNUMBER(G338),ISNUMBER(K338),ISNUMBER(L338)),MOD(DEGREES(ATAN2(COS(RADIANS(K338))*SIN(RADIANS(F338))-SIN(RADIANS(K338))*COS(RADIANS(F338))*COS(RADIANS(G338-L338)),SIN(RADIANS(G338-L338))*COS(RADIANS(F338))))+360,360),"N/A")</f>
        <v>78.076584567052066</v>
      </c>
      <c r="AL338" s="10" t="str">
        <f>IF(AND(ISNUMBER(F338),ISNUMBER(G338),ISNUMBER(M338),ISNUMBER(N338)),ACOS(MIN(1,COS(RADIANS(90-F338))*COS(RADIANS(90-M338))+SIN(RADIANS(90-F338))*SIN(RADIANS(90-M338))*COS(RADIANS(G338-N338))))*6371,"N/A")</f>
        <v>N/A</v>
      </c>
      <c r="AM338" s="10" t="str">
        <f>IF(AND(ISNUMBER(F338),ISNUMBER(G338),ISNUMBER(M338),ISNUMBER(N338)),MOD(DEGREES(ATAN2(COS(RADIANS(M338))*SIN(RADIANS(F338))-SIN(RADIANS(M338))*COS(RADIANS(F338))*COS(RADIANS(G338-N338)),SIN(RADIANS(G338-N338))*COS(RADIANS(F338))))+360,360),"N/A")</f>
        <v>N/A</v>
      </c>
      <c r="AN338" s="2"/>
      <c r="AO338" s="2"/>
    </row>
    <row r="339" spans="1:41" x14ac:dyDescent="0.2">
      <c r="A339" s="4" t="s">
        <v>849</v>
      </c>
      <c r="B339" s="4" t="s">
        <v>728</v>
      </c>
      <c r="C339" s="5" t="s">
        <v>340</v>
      </c>
      <c r="D339" s="4" t="s">
        <v>70</v>
      </c>
      <c r="E339" s="4" t="s">
        <v>71</v>
      </c>
      <c r="F339" s="15">
        <v>41.283222000000002</v>
      </c>
      <c r="G339" s="15">
        <v>17.616797999999999</v>
      </c>
      <c r="H339" s="16">
        <v>-1013</v>
      </c>
      <c r="I339" s="4" t="s">
        <v>981</v>
      </c>
      <c r="J339" s="4" t="s">
        <v>16</v>
      </c>
      <c r="K339" s="6">
        <v>40.820999999999998</v>
      </c>
      <c r="L339" s="6">
        <v>14.426</v>
      </c>
      <c r="M339" s="5" t="s">
        <v>340</v>
      </c>
      <c r="N339" s="5" t="s">
        <v>340</v>
      </c>
      <c r="O339" s="4" t="s">
        <v>880</v>
      </c>
      <c r="P339" s="5" t="s">
        <v>850</v>
      </c>
      <c r="Q339" s="5" t="s">
        <v>340</v>
      </c>
      <c r="R339" s="4" t="s">
        <v>184</v>
      </c>
      <c r="S339" s="4" t="s">
        <v>1139</v>
      </c>
      <c r="T339" s="7">
        <v>1478</v>
      </c>
      <c r="U339" s="7">
        <v>1478</v>
      </c>
      <c r="V339" s="7">
        <v>1478</v>
      </c>
      <c r="W339" s="15" t="s">
        <v>898</v>
      </c>
      <c r="X339" s="15" t="s">
        <v>897</v>
      </c>
      <c r="Y339" s="7" t="s">
        <v>340</v>
      </c>
      <c r="Z339" s="7" t="s">
        <v>340</v>
      </c>
      <c r="AA339" s="7" t="s">
        <v>340</v>
      </c>
      <c r="AB339" s="7" t="s">
        <v>340</v>
      </c>
      <c r="AC339" s="7">
        <v>1440</v>
      </c>
      <c r="AD339" s="7">
        <v>70</v>
      </c>
      <c r="AE339" s="7" t="s">
        <v>340</v>
      </c>
      <c r="AF339" s="7" t="s">
        <v>340</v>
      </c>
      <c r="AG339" s="7" t="s">
        <v>881</v>
      </c>
      <c r="AH339" s="5">
        <v>1</v>
      </c>
      <c r="AI339" s="5">
        <v>2</v>
      </c>
      <c r="AJ339" s="9">
        <f>IF(AND(ISNUMBER(F339),ISNUMBER(G339),ISNUMBER(K339),ISNUMBER(L339)),ACOS(MIN(1,COS(RADIANS(90-F339))*COS(RADIANS(90-K339))+SIN(RADIANS(90-F339))*SIN(RADIANS(90-K339))*COS(RADIANS(G339-L339))))*6371,"N/A")</f>
        <v>272.43437488650625</v>
      </c>
      <c r="AK339" s="10">
        <f>IF(AND(ISNUMBER(F339),ISNUMBER(G339),ISNUMBER(K339),ISNUMBER(L339)),MOD(DEGREES(ATAN2(COS(RADIANS(K339))*SIN(RADIANS(F339))-SIN(RADIANS(K339))*COS(RADIANS(F339))*COS(RADIANS(G339-L339)),SIN(RADIANS(G339-L339))*COS(RADIANS(F339))))+360,360),"N/A")</f>
        <v>78.081087346937466</v>
      </c>
      <c r="AL339" s="10" t="str">
        <f>IF(AND(ISNUMBER(F339),ISNUMBER(G339),ISNUMBER(M339),ISNUMBER(N339)),ACOS(MIN(1,COS(RADIANS(90-F339))*COS(RADIANS(90-M339))+SIN(RADIANS(90-F339))*SIN(RADIANS(90-M339))*COS(RADIANS(G339-N339))))*6371,"N/A")</f>
        <v>N/A</v>
      </c>
      <c r="AM339" s="10" t="str">
        <f>IF(AND(ISNUMBER(F339),ISNUMBER(G339),ISNUMBER(M339),ISNUMBER(N339)),MOD(DEGREES(ATAN2(COS(RADIANS(M339))*SIN(RADIANS(F339))-SIN(RADIANS(M339))*COS(RADIANS(F339))*COS(RADIANS(G339-N339)),SIN(RADIANS(G339-N339))*COS(RADIANS(F339))))+360,360),"N/A")</f>
        <v>N/A</v>
      </c>
      <c r="AN339" s="2"/>
      <c r="AO339" s="2"/>
    </row>
    <row r="340" spans="1:41" x14ac:dyDescent="0.2">
      <c r="A340" s="4" t="s">
        <v>758</v>
      </c>
      <c r="B340" s="4" t="s">
        <v>726</v>
      </c>
      <c r="C340" s="5" t="s">
        <v>340</v>
      </c>
      <c r="D340" s="4" t="s">
        <v>70</v>
      </c>
      <c r="E340" s="4" t="s">
        <v>71</v>
      </c>
      <c r="F340" s="15">
        <v>41.283399000000003</v>
      </c>
      <c r="G340" s="15">
        <v>17.616657</v>
      </c>
      <c r="H340" s="16">
        <v>-1013</v>
      </c>
      <c r="I340" s="4" t="s">
        <v>981</v>
      </c>
      <c r="J340" s="4" t="s">
        <v>16</v>
      </c>
      <c r="K340" s="6">
        <v>40.820999999999998</v>
      </c>
      <c r="L340" s="6">
        <v>14.426</v>
      </c>
      <c r="M340" s="5" t="s">
        <v>340</v>
      </c>
      <c r="N340" s="5" t="s">
        <v>340</v>
      </c>
      <c r="O340" s="4" t="s">
        <v>880</v>
      </c>
      <c r="P340" s="5">
        <v>6</v>
      </c>
      <c r="Q340" s="5" t="s">
        <v>340</v>
      </c>
      <c r="R340" s="4" t="s">
        <v>184</v>
      </c>
      <c r="S340" s="4" t="s">
        <v>1121</v>
      </c>
      <c r="T340" s="7">
        <v>1478</v>
      </c>
      <c r="U340" s="7">
        <v>1478</v>
      </c>
      <c r="V340" s="7">
        <v>1478</v>
      </c>
      <c r="W340" s="15" t="s">
        <v>898</v>
      </c>
      <c r="X340" s="15" t="s">
        <v>897</v>
      </c>
      <c r="Y340" s="7" t="s">
        <v>340</v>
      </c>
      <c r="Z340" s="7" t="s">
        <v>340</v>
      </c>
      <c r="AA340" s="7" t="s">
        <v>340</v>
      </c>
      <c r="AB340" s="7" t="s">
        <v>340</v>
      </c>
      <c r="AC340" s="7">
        <v>1440</v>
      </c>
      <c r="AD340" s="7">
        <v>70</v>
      </c>
      <c r="AE340" s="7" t="s">
        <v>340</v>
      </c>
      <c r="AF340" s="7" t="s">
        <v>340</v>
      </c>
      <c r="AG340" s="7" t="s">
        <v>881</v>
      </c>
      <c r="AH340" s="5">
        <v>1</v>
      </c>
      <c r="AI340" s="5">
        <v>1</v>
      </c>
      <c r="AJ340" s="9">
        <f>IF(AND(ISNUMBER(F340),ISNUMBER(G340),ISNUMBER(K340),ISNUMBER(L340)),ACOS(MIN(1,COS(RADIANS(90-F340))*COS(RADIANS(90-K340))+SIN(RADIANS(90-F340))*SIN(RADIANS(90-K340))*COS(RADIANS(G340-L340))))*6371,"N/A")</f>
        <v>272.42612455394863</v>
      </c>
      <c r="AK340" s="10">
        <f>IF(AND(ISNUMBER(F340),ISNUMBER(G340),ISNUMBER(K340),ISNUMBER(L340)),MOD(DEGREES(ATAN2(COS(RADIANS(K340))*SIN(RADIANS(F340))-SIN(RADIANS(K340))*COS(RADIANS(F340))*COS(RADIANS(G340-L340)),SIN(RADIANS(G340-L340))*COS(RADIANS(F340))))+360,360),"N/A")</f>
        <v>78.076584567052066</v>
      </c>
      <c r="AL340" s="10" t="str">
        <f>IF(AND(ISNUMBER(F340),ISNUMBER(G340),ISNUMBER(M340),ISNUMBER(N340)),ACOS(MIN(1,COS(RADIANS(90-F340))*COS(RADIANS(90-M340))+SIN(RADIANS(90-F340))*SIN(RADIANS(90-M340))*COS(RADIANS(G340-N340))))*6371,"N/A")</f>
        <v>N/A</v>
      </c>
      <c r="AM340" s="10" t="str">
        <f>IF(AND(ISNUMBER(F340),ISNUMBER(G340),ISNUMBER(M340),ISNUMBER(N340)),MOD(DEGREES(ATAN2(COS(RADIANS(M340))*SIN(RADIANS(F340))-SIN(RADIANS(M340))*COS(RADIANS(F340))*COS(RADIANS(G340-N340)),SIN(RADIANS(G340-N340))*COS(RADIANS(F340))))+360,360),"N/A")</f>
        <v>N/A</v>
      </c>
      <c r="AN340" s="2"/>
      <c r="AO340" s="2"/>
    </row>
    <row r="341" spans="1:41" x14ac:dyDescent="0.2">
      <c r="A341" s="4" t="s">
        <v>759</v>
      </c>
      <c r="B341" s="4" t="s">
        <v>728</v>
      </c>
      <c r="C341" s="5" t="s">
        <v>340</v>
      </c>
      <c r="D341" s="4" t="s">
        <v>70</v>
      </c>
      <c r="E341" s="4" t="s">
        <v>71</v>
      </c>
      <c r="F341" s="15">
        <v>41.283222000000002</v>
      </c>
      <c r="G341" s="15">
        <v>17.616797999999999</v>
      </c>
      <c r="H341" s="16">
        <v>-1013</v>
      </c>
      <c r="I341" s="4" t="s">
        <v>981</v>
      </c>
      <c r="J341" s="4" t="s">
        <v>16</v>
      </c>
      <c r="K341" s="6">
        <v>40.820999999999998</v>
      </c>
      <c r="L341" s="6">
        <v>14.426</v>
      </c>
      <c r="M341" s="5" t="s">
        <v>340</v>
      </c>
      <c r="N341" s="5" t="s">
        <v>340</v>
      </c>
      <c r="O341" s="4" t="s">
        <v>668</v>
      </c>
      <c r="P341" s="5">
        <v>4</v>
      </c>
      <c r="Q341" s="5" t="s">
        <v>340</v>
      </c>
      <c r="R341" s="4" t="s">
        <v>184</v>
      </c>
      <c r="S341" s="4" t="s">
        <v>1121</v>
      </c>
      <c r="T341" s="7">
        <v>1438</v>
      </c>
      <c r="U341" s="7">
        <v>1438</v>
      </c>
      <c r="V341" s="7">
        <v>1438</v>
      </c>
      <c r="W341" s="15" t="s">
        <v>898</v>
      </c>
      <c r="X341" s="15" t="s">
        <v>332</v>
      </c>
      <c r="Y341" s="7" t="s">
        <v>340</v>
      </c>
      <c r="Z341" s="7" t="s">
        <v>340</v>
      </c>
      <c r="AA341" s="7" t="s">
        <v>340</v>
      </c>
      <c r="AB341" s="7" t="s">
        <v>340</v>
      </c>
      <c r="AC341" s="7" t="s">
        <v>340</v>
      </c>
      <c r="AD341" s="7" t="s">
        <v>340</v>
      </c>
      <c r="AE341" s="7" t="s">
        <v>340</v>
      </c>
      <c r="AF341" s="7" t="s">
        <v>340</v>
      </c>
      <c r="AG341" s="7" t="s">
        <v>668</v>
      </c>
      <c r="AH341" s="5">
        <v>1</v>
      </c>
      <c r="AI341" s="5">
        <v>1</v>
      </c>
      <c r="AJ341" s="9">
        <f>IF(AND(ISNUMBER(F341),ISNUMBER(G341),ISNUMBER(K341),ISNUMBER(L341)),ACOS(MIN(1,COS(RADIANS(90-F341))*COS(RADIANS(90-K341))+SIN(RADIANS(90-F341))*SIN(RADIANS(90-K341))*COS(RADIANS(G341-L341))))*6371,"N/A")</f>
        <v>272.43437488650625</v>
      </c>
      <c r="AK341" s="10">
        <f>IF(AND(ISNUMBER(F341),ISNUMBER(G341),ISNUMBER(K341),ISNUMBER(L341)),MOD(DEGREES(ATAN2(COS(RADIANS(K341))*SIN(RADIANS(F341))-SIN(RADIANS(K341))*COS(RADIANS(F341))*COS(RADIANS(G341-L341)),SIN(RADIANS(G341-L341))*COS(RADIANS(F341))))+360,360),"N/A")</f>
        <v>78.081087346937466</v>
      </c>
      <c r="AL341" s="10" t="str">
        <f>IF(AND(ISNUMBER(F341),ISNUMBER(G341),ISNUMBER(M341),ISNUMBER(N341)),ACOS(MIN(1,COS(RADIANS(90-F341))*COS(RADIANS(90-M341))+SIN(RADIANS(90-F341))*SIN(RADIANS(90-M341))*COS(RADIANS(G341-N341))))*6371,"N/A")</f>
        <v>N/A</v>
      </c>
      <c r="AM341" s="10" t="str">
        <f>IF(AND(ISNUMBER(F341),ISNUMBER(G341),ISNUMBER(M341),ISNUMBER(N341)),MOD(DEGREES(ATAN2(COS(RADIANS(M341))*SIN(RADIANS(F341))-SIN(RADIANS(M341))*COS(RADIANS(F341))*COS(RADIANS(G341-N341)),SIN(RADIANS(G341-N341))*COS(RADIANS(F341))))+360,360),"N/A")</f>
        <v>N/A</v>
      </c>
      <c r="AN341" s="2"/>
      <c r="AO341" s="2"/>
    </row>
    <row r="342" spans="1:41" x14ac:dyDescent="0.2">
      <c r="A342" s="4" t="s">
        <v>760</v>
      </c>
      <c r="B342" s="4" t="s">
        <v>728</v>
      </c>
      <c r="C342" s="5" t="s">
        <v>340</v>
      </c>
      <c r="D342" s="4" t="s">
        <v>70</v>
      </c>
      <c r="E342" s="4" t="s">
        <v>71</v>
      </c>
      <c r="F342" s="15">
        <v>41.283222000000002</v>
      </c>
      <c r="G342" s="15">
        <v>17.616797999999999</v>
      </c>
      <c r="H342" s="16">
        <v>-1013</v>
      </c>
      <c r="I342" s="4" t="s">
        <v>981</v>
      </c>
      <c r="J342" s="4" t="s">
        <v>16</v>
      </c>
      <c r="K342" s="6">
        <v>40.820999999999998</v>
      </c>
      <c r="L342" s="6">
        <v>14.426</v>
      </c>
      <c r="M342" s="5" t="s">
        <v>340</v>
      </c>
      <c r="N342" s="5" t="s">
        <v>340</v>
      </c>
      <c r="O342" s="4" t="s">
        <v>668</v>
      </c>
      <c r="P342" s="5">
        <v>2</v>
      </c>
      <c r="Q342" s="5" t="s">
        <v>340</v>
      </c>
      <c r="R342" s="4" t="s">
        <v>184</v>
      </c>
      <c r="S342" s="4" t="s">
        <v>1121</v>
      </c>
      <c r="T342" s="7">
        <v>1438</v>
      </c>
      <c r="U342" s="7">
        <v>1438</v>
      </c>
      <c r="V342" s="7">
        <v>1438</v>
      </c>
      <c r="W342" s="15" t="s">
        <v>898</v>
      </c>
      <c r="X342" s="15" t="s">
        <v>332</v>
      </c>
      <c r="Y342" s="7" t="s">
        <v>340</v>
      </c>
      <c r="Z342" s="7" t="s">
        <v>340</v>
      </c>
      <c r="AA342" s="7" t="s">
        <v>340</v>
      </c>
      <c r="AB342" s="7" t="s">
        <v>340</v>
      </c>
      <c r="AC342" s="7" t="s">
        <v>340</v>
      </c>
      <c r="AD342" s="7" t="s">
        <v>340</v>
      </c>
      <c r="AE342" s="7" t="s">
        <v>340</v>
      </c>
      <c r="AF342" s="7" t="s">
        <v>340</v>
      </c>
      <c r="AG342" s="7" t="s">
        <v>668</v>
      </c>
      <c r="AH342" s="5">
        <v>1</v>
      </c>
      <c r="AI342" s="5">
        <v>1</v>
      </c>
      <c r="AJ342" s="9">
        <f>IF(AND(ISNUMBER(F342),ISNUMBER(G342),ISNUMBER(K342),ISNUMBER(L342)),ACOS(MIN(1,COS(RADIANS(90-F342))*COS(RADIANS(90-K342))+SIN(RADIANS(90-F342))*SIN(RADIANS(90-K342))*COS(RADIANS(G342-L342))))*6371,"N/A")</f>
        <v>272.43437488650625</v>
      </c>
      <c r="AK342" s="10">
        <f>IF(AND(ISNUMBER(F342),ISNUMBER(G342),ISNUMBER(K342),ISNUMBER(L342)),MOD(DEGREES(ATAN2(COS(RADIANS(K342))*SIN(RADIANS(F342))-SIN(RADIANS(K342))*COS(RADIANS(F342))*COS(RADIANS(G342-L342)),SIN(RADIANS(G342-L342))*COS(RADIANS(F342))))+360,360),"N/A")</f>
        <v>78.081087346937466</v>
      </c>
      <c r="AL342" s="10" t="str">
        <f>IF(AND(ISNUMBER(F342),ISNUMBER(G342),ISNUMBER(M342),ISNUMBER(N342)),ACOS(MIN(1,COS(RADIANS(90-F342))*COS(RADIANS(90-M342))+SIN(RADIANS(90-F342))*SIN(RADIANS(90-M342))*COS(RADIANS(G342-N342))))*6371,"N/A")</f>
        <v>N/A</v>
      </c>
      <c r="AM342" s="10" t="str">
        <f>IF(AND(ISNUMBER(F342),ISNUMBER(G342),ISNUMBER(M342),ISNUMBER(N342)),MOD(DEGREES(ATAN2(COS(RADIANS(M342))*SIN(RADIANS(F342))-SIN(RADIANS(M342))*COS(RADIANS(F342))*COS(RADIANS(G342-N342)),SIN(RADIANS(G342-N342))*COS(RADIANS(F342))))+360,360),"N/A")</f>
        <v>N/A</v>
      </c>
      <c r="AN342" s="2"/>
      <c r="AO342" s="2"/>
    </row>
    <row r="343" spans="1:41" x14ac:dyDescent="0.2">
      <c r="A343" s="4" t="s">
        <v>761</v>
      </c>
      <c r="B343" s="4" t="s">
        <v>726</v>
      </c>
      <c r="C343" s="5" t="s">
        <v>340</v>
      </c>
      <c r="D343" s="4" t="s">
        <v>70</v>
      </c>
      <c r="E343" s="4" t="s">
        <v>71</v>
      </c>
      <c r="F343" s="15">
        <v>41.283399000000003</v>
      </c>
      <c r="G343" s="15">
        <v>17.616657</v>
      </c>
      <c r="H343" s="16">
        <v>-1013</v>
      </c>
      <c r="I343" s="4" t="s">
        <v>981</v>
      </c>
      <c r="J343" s="4" t="s">
        <v>16</v>
      </c>
      <c r="K343" s="6">
        <v>40.820999999999998</v>
      </c>
      <c r="L343" s="6">
        <v>14.426</v>
      </c>
      <c r="M343" s="5" t="s">
        <v>340</v>
      </c>
      <c r="N343" s="5" t="s">
        <v>340</v>
      </c>
      <c r="O343" s="4" t="s">
        <v>668</v>
      </c>
      <c r="P343" s="5">
        <v>1</v>
      </c>
      <c r="Q343" s="5" t="s">
        <v>340</v>
      </c>
      <c r="R343" s="4" t="s">
        <v>184</v>
      </c>
      <c r="S343" s="4" t="s">
        <v>1121</v>
      </c>
      <c r="T343" s="7">
        <v>1438</v>
      </c>
      <c r="U343" s="7">
        <v>1438</v>
      </c>
      <c r="V343" s="7">
        <v>1438</v>
      </c>
      <c r="W343" s="15" t="s">
        <v>898</v>
      </c>
      <c r="X343" s="15" t="s">
        <v>332</v>
      </c>
      <c r="Y343" s="7" t="s">
        <v>340</v>
      </c>
      <c r="Z343" s="7" t="s">
        <v>340</v>
      </c>
      <c r="AA343" s="7" t="s">
        <v>340</v>
      </c>
      <c r="AB343" s="7" t="s">
        <v>340</v>
      </c>
      <c r="AC343" s="7" t="s">
        <v>340</v>
      </c>
      <c r="AD343" s="7" t="s">
        <v>340</v>
      </c>
      <c r="AE343" s="7" t="s">
        <v>340</v>
      </c>
      <c r="AF343" s="7" t="s">
        <v>340</v>
      </c>
      <c r="AG343" s="7" t="s">
        <v>668</v>
      </c>
      <c r="AH343" s="5">
        <v>1</v>
      </c>
      <c r="AI343" s="5">
        <v>1</v>
      </c>
      <c r="AJ343" s="9">
        <f>IF(AND(ISNUMBER(F343),ISNUMBER(G343),ISNUMBER(K343),ISNUMBER(L343)),ACOS(MIN(1,COS(RADIANS(90-F343))*COS(RADIANS(90-K343))+SIN(RADIANS(90-F343))*SIN(RADIANS(90-K343))*COS(RADIANS(G343-L343))))*6371,"N/A")</f>
        <v>272.42612455394863</v>
      </c>
      <c r="AK343" s="10">
        <f>IF(AND(ISNUMBER(F343),ISNUMBER(G343),ISNUMBER(K343),ISNUMBER(L343)),MOD(DEGREES(ATAN2(COS(RADIANS(K343))*SIN(RADIANS(F343))-SIN(RADIANS(K343))*COS(RADIANS(F343))*COS(RADIANS(G343-L343)),SIN(RADIANS(G343-L343))*COS(RADIANS(F343))))+360,360),"N/A")</f>
        <v>78.076584567052066</v>
      </c>
      <c r="AL343" s="10" t="str">
        <f>IF(AND(ISNUMBER(F343),ISNUMBER(G343),ISNUMBER(M343),ISNUMBER(N343)),ACOS(MIN(1,COS(RADIANS(90-F343))*COS(RADIANS(90-M343))+SIN(RADIANS(90-F343))*SIN(RADIANS(90-M343))*COS(RADIANS(G343-N343))))*6371,"N/A")</f>
        <v>N/A</v>
      </c>
      <c r="AM343" s="10" t="str">
        <f>IF(AND(ISNUMBER(F343),ISNUMBER(G343),ISNUMBER(M343),ISNUMBER(N343)),MOD(DEGREES(ATAN2(COS(RADIANS(M343))*SIN(RADIANS(F343))-SIN(RADIANS(M343))*COS(RADIANS(F343))*COS(RADIANS(G343-N343)),SIN(RADIANS(G343-N343))*COS(RADIANS(F343))))+360,360),"N/A")</f>
        <v>N/A</v>
      </c>
      <c r="AN343" s="2"/>
      <c r="AO343" s="2"/>
    </row>
    <row r="344" spans="1:41" x14ac:dyDescent="0.2">
      <c r="A344" s="4" t="s">
        <v>756</v>
      </c>
      <c r="B344" s="4" t="s">
        <v>726</v>
      </c>
      <c r="C344" s="5" t="s">
        <v>340</v>
      </c>
      <c r="D344" s="4" t="s">
        <v>70</v>
      </c>
      <c r="E344" s="4" t="s">
        <v>71</v>
      </c>
      <c r="F344" s="15">
        <v>41.283399000000003</v>
      </c>
      <c r="G344" s="15">
        <v>17.616657</v>
      </c>
      <c r="H344" s="16">
        <v>-1013</v>
      </c>
      <c r="I344" s="4" t="s">
        <v>981</v>
      </c>
      <c r="J344" s="4" t="s">
        <v>16</v>
      </c>
      <c r="K344" s="6">
        <v>40.820999999999998</v>
      </c>
      <c r="L344" s="6">
        <v>14.426</v>
      </c>
      <c r="M344" s="5" t="s">
        <v>340</v>
      </c>
      <c r="N344" s="5" t="s">
        <v>340</v>
      </c>
      <c r="O344" s="4" t="s">
        <v>38</v>
      </c>
      <c r="P344" s="5">
        <v>8</v>
      </c>
      <c r="Q344" s="5" t="s">
        <v>340</v>
      </c>
      <c r="R344" s="4" t="s">
        <v>184</v>
      </c>
      <c r="S344" s="4" t="s">
        <v>942</v>
      </c>
      <c r="T344" s="7" t="s">
        <v>920</v>
      </c>
      <c r="U344" s="7">
        <v>3839</v>
      </c>
      <c r="V344" s="7" t="s">
        <v>921</v>
      </c>
      <c r="W344" s="15" t="s">
        <v>922</v>
      </c>
      <c r="X344" s="21" t="s">
        <v>919</v>
      </c>
      <c r="Y344" s="7" t="s">
        <v>340</v>
      </c>
      <c r="Z344" s="7" t="s">
        <v>340</v>
      </c>
      <c r="AA344" s="7" t="s">
        <v>340</v>
      </c>
      <c r="AB344" s="7" t="s">
        <v>340</v>
      </c>
      <c r="AC344" s="7">
        <v>4310</v>
      </c>
      <c r="AD344" s="7">
        <v>220</v>
      </c>
      <c r="AE344" s="7">
        <v>3839</v>
      </c>
      <c r="AF344" s="7">
        <v>21</v>
      </c>
      <c r="AG344" s="7" t="s">
        <v>340</v>
      </c>
      <c r="AH344" s="5">
        <v>1</v>
      </c>
      <c r="AI344" s="5">
        <v>1</v>
      </c>
      <c r="AJ344" s="9">
        <f>IF(AND(ISNUMBER(F344),ISNUMBER(G344),ISNUMBER(K344),ISNUMBER(L344)),ACOS(MIN(1,COS(RADIANS(90-F344))*COS(RADIANS(90-K344))+SIN(RADIANS(90-F344))*SIN(RADIANS(90-K344))*COS(RADIANS(G344-L344))))*6371,"N/A")</f>
        <v>272.42612455394863</v>
      </c>
      <c r="AK344" s="10">
        <f>IF(AND(ISNUMBER(F344),ISNUMBER(G344),ISNUMBER(K344),ISNUMBER(L344)),MOD(DEGREES(ATAN2(COS(RADIANS(K344))*SIN(RADIANS(F344))-SIN(RADIANS(K344))*COS(RADIANS(F344))*COS(RADIANS(G344-L344)),SIN(RADIANS(G344-L344))*COS(RADIANS(F344))))+360,360),"N/A")</f>
        <v>78.076584567052066</v>
      </c>
      <c r="AL344" s="10" t="str">
        <f>IF(AND(ISNUMBER(F344),ISNUMBER(G344),ISNUMBER(M344),ISNUMBER(N344)),ACOS(MIN(1,COS(RADIANS(90-F344))*COS(RADIANS(90-M344))+SIN(RADIANS(90-F344))*SIN(RADIANS(90-M344))*COS(RADIANS(G344-N344))))*6371,"N/A")</f>
        <v>N/A</v>
      </c>
      <c r="AM344" s="10" t="str">
        <f>IF(AND(ISNUMBER(F344),ISNUMBER(G344),ISNUMBER(M344),ISNUMBER(N344)),MOD(DEGREES(ATAN2(COS(RADIANS(M344))*SIN(RADIANS(F344))-SIN(RADIANS(M344))*COS(RADIANS(F344))*COS(RADIANS(G344-N344)),SIN(RADIANS(G344-N344))*COS(RADIANS(F344))))+360,360),"N/A")</f>
        <v>N/A</v>
      </c>
      <c r="AN344" s="2"/>
      <c r="AO344" s="2"/>
    </row>
    <row r="345" spans="1:41" x14ac:dyDescent="0.2">
      <c r="A345" s="4" t="s">
        <v>744</v>
      </c>
      <c r="B345" s="4" t="s">
        <v>728</v>
      </c>
      <c r="C345" s="5" t="s">
        <v>340</v>
      </c>
      <c r="D345" s="4" t="s">
        <v>70</v>
      </c>
      <c r="E345" s="4" t="s">
        <v>71</v>
      </c>
      <c r="F345" s="15">
        <v>41.283222000000002</v>
      </c>
      <c r="G345" s="15">
        <v>17.616797999999999</v>
      </c>
      <c r="H345" s="16">
        <v>-1013</v>
      </c>
      <c r="I345" s="4" t="s">
        <v>981</v>
      </c>
      <c r="J345" s="4" t="s">
        <v>16</v>
      </c>
      <c r="K345" s="6">
        <v>40.820999999999998</v>
      </c>
      <c r="L345" s="6">
        <v>14.426</v>
      </c>
      <c r="M345" s="5" t="s">
        <v>340</v>
      </c>
      <c r="N345" s="5" t="s">
        <v>340</v>
      </c>
      <c r="O345" s="4" t="s">
        <v>1069</v>
      </c>
      <c r="P345" s="5">
        <v>25</v>
      </c>
      <c r="Q345" s="5" t="s">
        <v>340</v>
      </c>
      <c r="R345" s="4" t="s">
        <v>184</v>
      </c>
      <c r="S345" s="4" t="s">
        <v>1121</v>
      </c>
      <c r="T345" s="12">
        <v>18978</v>
      </c>
      <c r="U345" s="12">
        <v>19162</v>
      </c>
      <c r="V345" s="12">
        <v>19352</v>
      </c>
      <c r="W345" s="21" t="s">
        <v>933</v>
      </c>
      <c r="X345" s="21" t="s">
        <v>1359</v>
      </c>
      <c r="Y345" s="7" t="s">
        <v>340</v>
      </c>
      <c r="Z345" s="7" t="s">
        <v>340</v>
      </c>
      <c r="AA345" s="7" t="s">
        <v>340</v>
      </c>
      <c r="AB345" s="7" t="s">
        <v>340</v>
      </c>
      <c r="AC345" s="7">
        <v>17560</v>
      </c>
      <c r="AD345" s="7">
        <v>880</v>
      </c>
      <c r="AE345" s="7">
        <v>19164</v>
      </c>
      <c r="AF345" s="7">
        <v>92</v>
      </c>
      <c r="AG345" s="7" t="s">
        <v>340</v>
      </c>
      <c r="AH345" s="5">
        <v>1</v>
      </c>
      <c r="AI345" s="5">
        <v>1</v>
      </c>
      <c r="AJ345" s="9">
        <f>IF(AND(ISNUMBER(F345),ISNUMBER(G345),ISNUMBER(K345),ISNUMBER(L345)),ACOS(MIN(1,COS(RADIANS(90-F345))*COS(RADIANS(90-K345))+SIN(RADIANS(90-F345))*SIN(RADIANS(90-K345))*COS(RADIANS(G345-L345))))*6371,"N/A")</f>
        <v>272.43437488650625</v>
      </c>
      <c r="AK345" s="10">
        <f>IF(AND(ISNUMBER(F345),ISNUMBER(G345),ISNUMBER(K345),ISNUMBER(L345)),MOD(DEGREES(ATAN2(COS(RADIANS(K345))*SIN(RADIANS(F345))-SIN(RADIANS(K345))*COS(RADIANS(F345))*COS(RADIANS(G345-L345)),SIN(RADIANS(G345-L345))*COS(RADIANS(F345))))+360,360),"N/A")</f>
        <v>78.081087346937466</v>
      </c>
      <c r="AL345" s="10" t="str">
        <f>IF(AND(ISNUMBER(F345),ISNUMBER(G345),ISNUMBER(M345),ISNUMBER(N345)),ACOS(MIN(1,COS(RADIANS(90-F345))*COS(RADIANS(90-M345))+SIN(RADIANS(90-F345))*SIN(RADIANS(90-M345))*COS(RADIANS(G345-N345))))*6371,"N/A")</f>
        <v>N/A</v>
      </c>
      <c r="AM345" s="10" t="str">
        <f>IF(AND(ISNUMBER(F345),ISNUMBER(G345),ISNUMBER(M345),ISNUMBER(N345)),MOD(DEGREES(ATAN2(COS(RADIANS(M345))*SIN(RADIANS(F345))-SIN(RADIANS(M345))*COS(RADIANS(F345))*COS(RADIANS(G345-N345)),SIN(RADIANS(G345-N345))*COS(RADIANS(F345))))+360,360),"N/A")</f>
        <v>N/A</v>
      </c>
      <c r="AN345" s="2"/>
      <c r="AO345" s="2"/>
    </row>
    <row r="346" spans="1:41" x14ac:dyDescent="0.2">
      <c r="A346" s="4" t="s">
        <v>740</v>
      </c>
      <c r="B346" s="4" t="s">
        <v>728</v>
      </c>
      <c r="C346" s="5" t="s">
        <v>340</v>
      </c>
      <c r="D346" s="4" t="s">
        <v>70</v>
      </c>
      <c r="E346" s="4" t="s">
        <v>71</v>
      </c>
      <c r="F346" s="15">
        <v>41.283222000000002</v>
      </c>
      <c r="G346" s="15">
        <v>17.616797999999999</v>
      </c>
      <c r="H346" s="16">
        <v>-1013</v>
      </c>
      <c r="I346" s="4" t="s">
        <v>981</v>
      </c>
      <c r="J346" s="4" t="s">
        <v>16</v>
      </c>
      <c r="K346" s="6">
        <v>40.820999999999998</v>
      </c>
      <c r="L346" s="6">
        <v>14.426</v>
      </c>
      <c r="M346" s="5" t="s">
        <v>340</v>
      </c>
      <c r="N346" s="5" t="s">
        <v>340</v>
      </c>
      <c r="O346" s="4" t="s">
        <v>229</v>
      </c>
      <c r="P346" s="5">
        <v>18</v>
      </c>
      <c r="Q346" s="5" t="s">
        <v>340</v>
      </c>
      <c r="R346" s="4" t="s">
        <v>184</v>
      </c>
      <c r="S346" s="4" t="s">
        <v>1121</v>
      </c>
      <c r="T346" s="12">
        <v>8723</v>
      </c>
      <c r="U346" s="7">
        <v>8866</v>
      </c>
      <c r="V346" s="12">
        <v>9009</v>
      </c>
      <c r="W346" s="15" t="s">
        <v>1091</v>
      </c>
      <c r="X346" s="21" t="s">
        <v>1360</v>
      </c>
      <c r="Y346" s="7">
        <v>8010</v>
      </c>
      <c r="Z346" s="7">
        <v>35</v>
      </c>
      <c r="AA346" s="7" t="s">
        <v>340</v>
      </c>
      <c r="AB346" s="7" t="s">
        <v>340</v>
      </c>
      <c r="AC346" s="7">
        <v>9680</v>
      </c>
      <c r="AD346" s="7">
        <v>480</v>
      </c>
      <c r="AE346" s="7" t="s">
        <v>340</v>
      </c>
      <c r="AF346" s="7" t="s">
        <v>340</v>
      </c>
      <c r="AG346" s="7" t="s">
        <v>340</v>
      </c>
      <c r="AH346" s="5">
        <v>1</v>
      </c>
      <c r="AI346" s="5">
        <v>1</v>
      </c>
      <c r="AJ346" s="9">
        <f>IF(AND(ISNUMBER(F346),ISNUMBER(G346),ISNUMBER(K346),ISNUMBER(L346)),ACOS(MIN(1,COS(RADIANS(90-F346))*COS(RADIANS(90-K346))+SIN(RADIANS(90-F346))*SIN(RADIANS(90-K346))*COS(RADIANS(G346-L346))))*6371,"N/A")</f>
        <v>272.43437488650625</v>
      </c>
      <c r="AK346" s="10">
        <f>IF(AND(ISNUMBER(F346),ISNUMBER(G346),ISNUMBER(K346),ISNUMBER(L346)),MOD(DEGREES(ATAN2(COS(RADIANS(K346))*SIN(RADIANS(F346))-SIN(RADIANS(K346))*COS(RADIANS(F346))*COS(RADIANS(G346-L346)),SIN(RADIANS(G346-L346))*COS(RADIANS(F346))))+360,360),"N/A")</f>
        <v>78.081087346937466</v>
      </c>
      <c r="AL346" s="10" t="str">
        <f>IF(AND(ISNUMBER(F346),ISNUMBER(G346),ISNUMBER(M346),ISNUMBER(N346)),ACOS(MIN(1,COS(RADIANS(90-F346))*COS(RADIANS(90-M346))+SIN(RADIANS(90-F346))*SIN(RADIANS(90-M346))*COS(RADIANS(G346-N346))))*6371,"N/A")</f>
        <v>N/A</v>
      </c>
      <c r="AM346" s="10" t="str">
        <f>IF(AND(ISNUMBER(F346),ISNUMBER(G346),ISNUMBER(M346),ISNUMBER(N346)),MOD(DEGREES(ATAN2(COS(RADIANS(M346))*SIN(RADIANS(F346))-SIN(RADIANS(M346))*COS(RADIANS(F346))*COS(RADIANS(G346-N346)),SIN(RADIANS(G346-N346))*COS(RADIANS(F346))))+360,360),"N/A")</f>
        <v>N/A</v>
      </c>
      <c r="AN346" s="2"/>
      <c r="AO346" s="2"/>
    </row>
    <row r="347" spans="1:41" x14ac:dyDescent="0.2">
      <c r="A347" s="4" t="s">
        <v>733</v>
      </c>
      <c r="B347" s="4" t="s">
        <v>726</v>
      </c>
      <c r="C347" s="5" t="s">
        <v>340</v>
      </c>
      <c r="D347" s="4" t="s">
        <v>70</v>
      </c>
      <c r="E347" s="4" t="s">
        <v>71</v>
      </c>
      <c r="F347" s="15">
        <v>41.283399000000003</v>
      </c>
      <c r="G347" s="15">
        <v>17.616657</v>
      </c>
      <c r="H347" s="16">
        <v>-1013</v>
      </c>
      <c r="I347" s="4" t="s">
        <v>981</v>
      </c>
      <c r="J347" s="4" t="s">
        <v>16</v>
      </c>
      <c r="K347" s="6">
        <v>40.820999999999998</v>
      </c>
      <c r="L347" s="6">
        <v>14.426</v>
      </c>
      <c r="M347" s="5" t="s">
        <v>340</v>
      </c>
      <c r="N347" s="5" t="s">
        <v>340</v>
      </c>
      <c r="O347" s="4" t="s">
        <v>229</v>
      </c>
      <c r="P347" s="5">
        <v>30</v>
      </c>
      <c r="Q347" s="5" t="s">
        <v>340</v>
      </c>
      <c r="R347" s="4" t="s">
        <v>184</v>
      </c>
      <c r="S347" s="4" t="s">
        <v>1121</v>
      </c>
      <c r="T347" s="12">
        <v>8723</v>
      </c>
      <c r="U347" s="7">
        <v>8866</v>
      </c>
      <c r="V347" s="12">
        <v>9009</v>
      </c>
      <c r="W347" s="15" t="s">
        <v>1091</v>
      </c>
      <c r="X347" s="21" t="s">
        <v>1360</v>
      </c>
      <c r="Y347" s="7">
        <v>8010</v>
      </c>
      <c r="Z347" s="7">
        <v>35</v>
      </c>
      <c r="AA347" s="7" t="s">
        <v>340</v>
      </c>
      <c r="AB347" s="7" t="s">
        <v>340</v>
      </c>
      <c r="AC347" s="7">
        <v>9680</v>
      </c>
      <c r="AD347" s="7">
        <v>480</v>
      </c>
      <c r="AE347" s="7" t="s">
        <v>340</v>
      </c>
      <c r="AF347" s="7" t="s">
        <v>340</v>
      </c>
      <c r="AG347" s="7" t="s">
        <v>340</v>
      </c>
      <c r="AH347" s="5">
        <v>1</v>
      </c>
      <c r="AI347" s="5">
        <v>1</v>
      </c>
      <c r="AJ347" s="9">
        <f>IF(AND(ISNUMBER(F347),ISNUMBER(G347),ISNUMBER(K347),ISNUMBER(L347)),ACOS(MIN(1,COS(RADIANS(90-F347))*COS(RADIANS(90-K347))+SIN(RADIANS(90-F347))*SIN(RADIANS(90-K347))*COS(RADIANS(G347-L347))))*6371,"N/A")</f>
        <v>272.42612455394863</v>
      </c>
      <c r="AK347" s="10">
        <f>IF(AND(ISNUMBER(F347),ISNUMBER(G347),ISNUMBER(K347),ISNUMBER(L347)),MOD(DEGREES(ATAN2(COS(RADIANS(K347))*SIN(RADIANS(F347))-SIN(RADIANS(K347))*COS(RADIANS(F347))*COS(RADIANS(G347-L347)),SIN(RADIANS(G347-L347))*COS(RADIANS(F347))))+360,360),"N/A")</f>
        <v>78.076584567052066</v>
      </c>
      <c r="AL347" s="10" t="str">
        <f>IF(AND(ISNUMBER(F347),ISNUMBER(G347),ISNUMBER(M347),ISNUMBER(N347)),ACOS(MIN(1,COS(RADIANS(90-F347))*COS(RADIANS(90-M347))+SIN(RADIANS(90-F347))*SIN(RADIANS(90-M347))*COS(RADIANS(G347-N347))))*6371,"N/A")</f>
        <v>N/A</v>
      </c>
      <c r="AM347" s="10" t="str">
        <f>IF(AND(ISNUMBER(F347),ISNUMBER(G347),ISNUMBER(M347),ISNUMBER(N347)),MOD(DEGREES(ATAN2(COS(RADIANS(M347))*SIN(RADIANS(F347))-SIN(RADIANS(M347))*COS(RADIANS(F347))*COS(RADIANS(G347-N347)),SIN(RADIANS(G347-N347))*COS(RADIANS(F347))))+360,360),"N/A")</f>
        <v>N/A</v>
      </c>
      <c r="AN347" s="2"/>
      <c r="AO347" s="2"/>
    </row>
    <row r="348" spans="1:41" x14ac:dyDescent="0.2">
      <c r="A348" s="4" t="s">
        <v>735</v>
      </c>
      <c r="B348" s="4" t="s">
        <v>728</v>
      </c>
      <c r="C348" s="5" t="s">
        <v>340</v>
      </c>
      <c r="D348" s="4" t="s">
        <v>70</v>
      </c>
      <c r="E348" s="4" t="s">
        <v>71</v>
      </c>
      <c r="F348" s="15">
        <v>41.283222000000002</v>
      </c>
      <c r="G348" s="15">
        <v>17.616797999999999</v>
      </c>
      <c r="H348" s="16">
        <v>-1013</v>
      </c>
      <c r="I348" s="4" t="s">
        <v>981</v>
      </c>
      <c r="J348" s="4" t="s">
        <v>16</v>
      </c>
      <c r="K348" s="6">
        <v>40.820999999999998</v>
      </c>
      <c r="L348" s="6">
        <v>14.426</v>
      </c>
      <c r="M348" s="5" t="s">
        <v>340</v>
      </c>
      <c r="N348" s="5" t="s">
        <v>340</v>
      </c>
      <c r="O348" s="4" t="s">
        <v>948</v>
      </c>
      <c r="P348" s="5">
        <v>16</v>
      </c>
      <c r="Q348" s="5" t="s">
        <v>340</v>
      </c>
      <c r="R348" s="4" t="s">
        <v>184</v>
      </c>
      <c r="S348" s="4" t="s">
        <v>1140</v>
      </c>
      <c r="T348" s="7">
        <v>3078</v>
      </c>
      <c r="U348" s="7">
        <v>3414</v>
      </c>
      <c r="V348" s="7">
        <v>3693</v>
      </c>
      <c r="W348" s="15" t="s">
        <v>1115</v>
      </c>
      <c r="X348" s="15" t="s">
        <v>981</v>
      </c>
      <c r="Y348" s="7" t="s">
        <v>340</v>
      </c>
      <c r="Z348" s="7" t="s">
        <v>340</v>
      </c>
      <c r="AA348" s="7" t="s">
        <v>340</v>
      </c>
      <c r="AB348" s="7" t="s">
        <v>340</v>
      </c>
      <c r="AC348" s="7" t="s">
        <v>340</v>
      </c>
      <c r="AD348" s="7" t="s">
        <v>340</v>
      </c>
      <c r="AE348" s="7">
        <v>3414</v>
      </c>
      <c r="AF348" s="7" t="s">
        <v>939</v>
      </c>
      <c r="AG348" s="7" t="s">
        <v>340</v>
      </c>
      <c r="AH348" s="5">
        <v>1</v>
      </c>
      <c r="AI348" s="5">
        <v>1</v>
      </c>
      <c r="AJ348" s="9">
        <f>IF(AND(ISNUMBER(F348),ISNUMBER(G348),ISNUMBER(K348),ISNUMBER(L348)),ACOS(MIN(1,COS(RADIANS(90-F348))*COS(RADIANS(90-K348))+SIN(RADIANS(90-F348))*SIN(RADIANS(90-K348))*COS(RADIANS(G348-L348))))*6371,"N/A")</f>
        <v>272.43437488650625</v>
      </c>
      <c r="AK348" s="10">
        <f>IF(AND(ISNUMBER(F348),ISNUMBER(G348),ISNUMBER(K348),ISNUMBER(L348)),MOD(DEGREES(ATAN2(COS(RADIANS(K348))*SIN(RADIANS(F348))-SIN(RADIANS(K348))*COS(RADIANS(F348))*COS(RADIANS(G348-L348)),SIN(RADIANS(G348-L348))*COS(RADIANS(F348))))+360,360),"N/A")</f>
        <v>78.081087346937466</v>
      </c>
      <c r="AL348" s="10" t="str">
        <f>IF(AND(ISNUMBER(F348),ISNUMBER(G348),ISNUMBER(M348),ISNUMBER(N348)),ACOS(MIN(1,COS(RADIANS(90-F348))*COS(RADIANS(90-M348))+SIN(RADIANS(90-F348))*SIN(RADIANS(90-M348))*COS(RADIANS(G348-N348))))*6371,"N/A")</f>
        <v>N/A</v>
      </c>
      <c r="AM348" s="10" t="str">
        <f>IF(AND(ISNUMBER(F348),ISNUMBER(G348),ISNUMBER(M348),ISNUMBER(N348)),MOD(DEGREES(ATAN2(COS(RADIANS(M348))*SIN(RADIANS(F348))-SIN(RADIANS(M348))*COS(RADIANS(F348))*COS(RADIANS(G348-N348)),SIN(RADIANS(G348-N348))*COS(RADIANS(F348))))+360,360),"N/A")</f>
        <v>N/A</v>
      </c>
      <c r="AN348" s="2"/>
      <c r="AO348" s="2"/>
    </row>
    <row r="349" spans="1:41" x14ac:dyDescent="0.2">
      <c r="A349" s="4" t="s">
        <v>736</v>
      </c>
      <c r="B349" s="4" t="s">
        <v>728</v>
      </c>
      <c r="C349" s="5" t="s">
        <v>340</v>
      </c>
      <c r="D349" s="4" t="s">
        <v>70</v>
      </c>
      <c r="E349" s="4" t="s">
        <v>71</v>
      </c>
      <c r="F349" s="15">
        <v>41.283222000000002</v>
      </c>
      <c r="G349" s="15">
        <v>17.616797999999999</v>
      </c>
      <c r="H349" s="16">
        <v>-1013</v>
      </c>
      <c r="I349" s="4" t="s">
        <v>981</v>
      </c>
      <c r="J349" s="4" t="s">
        <v>16</v>
      </c>
      <c r="K349" s="6">
        <v>40.820999999999998</v>
      </c>
      <c r="L349" s="6">
        <v>14.426</v>
      </c>
      <c r="M349" s="5" t="s">
        <v>340</v>
      </c>
      <c r="N349" s="5" t="s">
        <v>340</v>
      </c>
      <c r="O349" s="4" t="s">
        <v>948</v>
      </c>
      <c r="P349" s="5">
        <v>22</v>
      </c>
      <c r="Q349" s="5" t="s">
        <v>340</v>
      </c>
      <c r="R349" s="4" t="s">
        <v>184</v>
      </c>
      <c r="S349" s="4" t="s">
        <v>1140</v>
      </c>
      <c r="T349" s="7">
        <v>3078</v>
      </c>
      <c r="U349" s="7">
        <v>3414</v>
      </c>
      <c r="V349" s="7">
        <v>3693</v>
      </c>
      <c r="W349" s="15" t="s">
        <v>1115</v>
      </c>
      <c r="X349" s="15" t="s">
        <v>981</v>
      </c>
      <c r="Y349" s="7" t="s">
        <v>340</v>
      </c>
      <c r="Z349" s="7" t="s">
        <v>340</v>
      </c>
      <c r="AA349" s="7" t="s">
        <v>340</v>
      </c>
      <c r="AB349" s="7" t="s">
        <v>340</v>
      </c>
      <c r="AC349" s="7" t="s">
        <v>340</v>
      </c>
      <c r="AD349" s="7" t="s">
        <v>340</v>
      </c>
      <c r="AE349" s="7">
        <v>3415</v>
      </c>
      <c r="AF349" s="7" t="s">
        <v>940</v>
      </c>
      <c r="AG349" s="7" t="s">
        <v>340</v>
      </c>
      <c r="AH349" s="5">
        <v>1</v>
      </c>
      <c r="AI349" s="5">
        <v>1</v>
      </c>
      <c r="AJ349" s="9">
        <f>IF(AND(ISNUMBER(F349),ISNUMBER(G349),ISNUMBER(K349),ISNUMBER(L349)),ACOS(MIN(1,COS(RADIANS(90-F349))*COS(RADIANS(90-K349))+SIN(RADIANS(90-F349))*SIN(RADIANS(90-K349))*COS(RADIANS(G349-L349))))*6371,"N/A")</f>
        <v>272.43437488650625</v>
      </c>
      <c r="AK349" s="10">
        <f>IF(AND(ISNUMBER(F349),ISNUMBER(G349),ISNUMBER(K349),ISNUMBER(L349)),MOD(DEGREES(ATAN2(COS(RADIANS(K349))*SIN(RADIANS(F349))-SIN(RADIANS(K349))*COS(RADIANS(F349))*COS(RADIANS(G349-L349)),SIN(RADIANS(G349-L349))*COS(RADIANS(F349))))+360,360),"N/A")</f>
        <v>78.081087346937466</v>
      </c>
      <c r="AL349" s="10" t="str">
        <f>IF(AND(ISNUMBER(F349),ISNUMBER(G349),ISNUMBER(M349),ISNUMBER(N349)),ACOS(MIN(1,COS(RADIANS(90-F349))*COS(RADIANS(90-M349))+SIN(RADIANS(90-F349))*SIN(RADIANS(90-M349))*COS(RADIANS(G349-N349))))*6371,"N/A")</f>
        <v>N/A</v>
      </c>
      <c r="AM349" s="10" t="str">
        <f>IF(AND(ISNUMBER(F349),ISNUMBER(G349),ISNUMBER(M349),ISNUMBER(N349)),MOD(DEGREES(ATAN2(COS(RADIANS(M349))*SIN(RADIANS(F349))-SIN(RADIANS(M349))*COS(RADIANS(F349))*COS(RADIANS(G349-N349)),SIN(RADIANS(G349-N349))*COS(RADIANS(F349))))+360,360),"N/A")</f>
        <v>N/A</v>
      </c>
      <c r="AN349" s="2"/>
      <c r="AO349" s="2"/>
    </row>
    <row r="350" spans="1:41" x14ac:dyDescent="0.2">
      <c r="A350" s="4" t="s">
        <v>757</v>
      </c>
      <c r="B350" s="4" t="s">
        <v>726</v>
      </c>
      <c r="C350" s="5" t="s">
        <v>340</v>
      </c>
      <c r="D350" s="4" t="s">
        <v>70</v>
      </c>
      <c r="E350" s="4" t="s">
        <v>71</v>
      </c>
      <c r="F350" s="15">
        <v>41.283399000000003</v>
      </c>
      <c r="G350" s="15">
        <v>17.616657</v>
      </c>
      <c r="H350" s="16">
        <v>-1013</v>
      </c>
      <c r="I350" s="4" t="s">
        <v>981</v>
      </c>
      <c r="J350" s="4" t="s">
        <v>16</v>
      </c>
      <c r="K350" s="6">
        <v>40.820999999999998</v>
      </c>
      <c r="L350" s="6">
        <v>14.426</v>
      </c>
      <c r="M350" s="5" t="s">
        <v>340</v>
      </c>
      <c r="N350" s="5" t="s">
        <v>340</v>
      </c>
      <c r="O350" s="4" t="s">
        <v>948</v>
      </c>
      <c r="P350" s="5">
        <v>17</v>
      </c>
      <c r="Q350" s="5" t="s">
        <v>340</v>
      </c>
      <c r="R350" s="4" t="s">
        <v>184</v>
      </c>
      <c r="S350" s="4" t="s">
        <v>1140</v>
      </c>
      <c r="T350" s="7">
        <v>3078</v>
      </c>
      <c r="U350" s="7">
        <v>3414</v>
      </c>
      <c r="V350" s="7">
        <v>3693</v>
      </c>
      <c r="W350" s="15" t="s">
        <v>1115</v>
      </c>
      <c r="X350" s="15" t="s">
        <v>981</v>
      </c>
      <c r="Y350" s="7" t="s">
        <v>340</v>
      </c>
      <c r="Z350" s="7" t="s">
        <v>340</v>
      </c>
      <c r="AA350" s="7" t="s">
        <v>340</v>
      </c>
      <c r="AB350" s="7" t="s">
        <v>340</v>
      </c>
      <c r="AC350" s="7" t="s">
        <v>340</v>
      </c>
      <c r="AD350" s="7" t="s">
        <v>340</v>
      </c>
      <c r="AE350" s="7">
        <v>3416</v>
      </c>
      <c r="AF350" s="7" t="s">
        <v>941</v>
      </c>
      <c r="AG350" s="7" t="s">
        <v>340</v>
      </c>
      <c r="AH350" s="5">
        <v>1</v>
      </c>
      <c r="AI350" s="5">
        <v>1</v>
      </c>
      <c r="AJ350" s="9">
        <f>IF(AND(ISNUMBER(F350),ISNUMBER(G350),ISNUMBER(K350),ISNUMBER(L350)),ACOS(MIN(1,COS(RADIANS(90-F350))*COS(RADIANS(90-K350))+SIN(RADIANS(90-F350))*SIN(RADIANS(90-K350))*COS(RADIANS(G350-L350))))*6371,"N/A")</f>
        <v>272.42612455394863</v>
      </c>
      <c r="AK350" s="10">
        <f>IF(AND(ISNUMBER(F350),ISNUMBER(G350),ISNUMBER(K350),ISNUMBER(L350)),MOD(DEGREES(ATAN2(COS(RADIANS(K350))*SIN(RADIANS(F350))-SIN(RADIANS(K350))*COS(RADIANS(F350))*COS(RADIANS(G350-L350)),SIN(RADIANS(G350-L350))*COS(RADIANS(F350))))+360,360),"N/A")</f>
        <v>78.076584567052066</v>
      </c>
      <c r="AL350" s="10" t="str">
        <f>IF(AND(ISNUMBER(F350),ISNUMBER(G350),ISNUMBER(M350),ISNUMBER(N350)),ACOS(MIN(1,COS(RADIANS(90-F350))*COS(RADIANS(90-M350))+SIN(RADIANS(90-F350))*SIN(RADIANS(90-M350))*COS(RADIANS(G350-N350))))*6371,"N/A")</f>
        <v>N/A</v>
      </c>
      <c r="AM350" s="10" t="str">
        <f>IF(AND(ISNUMBER(F350),ISNUMBER(G350),ISNUMBER(M350),ISNUMBER(N350)),MOD(DEGREES(ATAN2(COS(RADIANS(M350))*SIN(RADIANS(F350))-SIN(RADIANS(M350))*COS(RADIANS(F350))*COS(RADIANS(G350-N350)),SIN(RADIANS(G350-N350))*COS(RADIANS(F350))))+360,360),"N/A")</f>
        <v>N/A</v>
      </c>
      <c r="AN350" s="2"/>
      <c r="AO350" s="2"/>
    </row>
    <row r="351" spans="1:41" x14ac:dyDescent="0.2">
      <c r="A351" s="4" t="s">
        <v>745</v>
      </c>
      <c r="B351" s="4" t="s">
        <v>728</v>
      </c>
      <c r="C351" s="5" t="s">
        <v>340</v>
      </c>
      <c r="D351" s="4" t="s">
        <v>70</v>
      </c>
      <c r="E351" s="4" t="s">
        <v>71</v>
      </c>
      <c r="F351" s="15">
        <v>41.283222000000002</v>
      </c>
      <c r="G351" s="15">
        <v>17.616797999999999</v>
      </c>
      <c r="H351" s="16">
        <v>-1013</v>
      </c>
      <c r="I351" s="4" t="s">
        <v>981</v>
      </c>
      <c r="J351" s="4" t="s">
        <v>16</v>
      </c>
      <c r="K351" s="6">
        <v>40.820999999999998</v>
      </c>
      <c r="L351" s="6">
        <v>14.426</v>
      </c>
      <c r="M351" s="5" t="s">
        <v>340</v>
      </c>
      <c r="N351" s="5" t="s">
        <v>340</v>
      </c>
      <c r="O351" s="4" t="s">
        <v>295</v>
      </c>
      <c r="P351" s="5">
        <v>23</v>
      </c>
      <c r="Q351" s="5" t="s">
        <v>340</v>
      </c>
      <c r="R351" s="4" t="s">
        <v>41</v>
      </c>
      <c r="S351" s="4" t="s">
        <v>1121</v>
      </c>
      <c r="T351" s="7">
        <v>21147</v>
      </c>
      <c r="U351" s="7">
        <v>21840</v>
      </c>
      <c r="V351" s="7">
        <v>22339</v>
      </c>
      <c r="W351" s="15" t="s">
        <v>1329</v>
      </c>
      <c r="X351" s="15" t="s">
        <v>1050</v>
      </c>
      <c r="Y351" s="7">
        <v>18220</v>
      </c>
      <c r="Z351" s="7">
        <v>140</v>
      </c>
      <c r="AA351" s="7" t="s">
        <v>340</v>
      </c>
      <c r="AB351" s="7" t="s">
        <v>340</v>
      </c>
      <c r="AC351" s="7">
        <v>19280</v>
      </c>
      <c r="AD351" s="7">
        <v>960</v>
      </c>
      <c r="AE351" s="7">
        <v>21840</v>
      </c>
      <c r="AF351" s="7" t="s">
        <v>938</v>
      </c>
      <c r="AG351" s="7" t="s">
        <v>340</v>
      </c>
      <c r="AH351" s="5">
        <v>1</v>
      </c>
      <c r="AI351" s="5">
        <v>1</v>
      </c>
      <c r="AJ351" s="9">
        <f>IF(AND(ISNUMBER(F351),ISNUMBER(G351),ISNUMBER(K351),ISNUMBER(L351)),ACOS(MIN(1,COS(RADIANS(90-F351))*COS(RADIANS(90-K351))+SIN(RADIANS(90-F351))*SIN(RADIANS(90-K351))*COS(RADIANS(G351-L351))))*6371,"N/A")</f>
        <v>272.43437488650625</v>
      </c>
      <c r="AK351" s="10">
        <f>IF(AND(ISNUMBER(F351),ISNUMBER(G351),ISNUMBER(K351),ISNUMBER(L351)),MOD(DEGREES(ATAN2(COS(RADIANS(K351))*SIN(RADIANS(F351))-SIN(RADIANS(K351))*COS(RADIANS(F351))*COS(RADIANS(G351-L351)),SIN(RADIANS(G351-L351))*COS(RADIANS(F351))))+360,360),"N/A")</f>
        <v>78.081087346937466</v>
      </c>
      <c r="AL351" s="10" t="str">
        <f>IF(AND(ISNUMBER(F351),ISNUMBER(G351),ISNUMBER(M351),ISNUMBER(N351)),ACOS(MIN(1,COS(RADIANS(90-F351))*COS(RADIANS(90-M351))+SIN(RADIANS(90-F351))*SIN(RADIANS(90-M351))*COS(RADIANS(G351-N351))))*6371,"N/A")</f>
        <v>N/A</v>
      </c>
      <c r="AM351" s="10" t="str">
        <f>IF(AND(ISNUMBER(F351),ISNUMBER(G351),ISNUMBER(M351),ISNUMBER(N351)),MOD(DEGREES(ATAN2(COS(RADIANS(M351))*SIN(RADIANS(F351))-SIN(RADIANS(M351))*COS(RADIANS(F351))*COS(RADIANS(G351-N351)),SIN(RADIANS(G351-N351))*COS(RADIANS(F351))))+360,360),"N/A")</f>
        <v>N/A</v>
      </c>
      <c r="AN351" s="2"/>
      <c r="AO351" s="2"/>
    </row>
    <row r="352" spans="1:41" x14ac:dyDescent="0.2">
      <c r="A352" s="4" t="s">
        <v>746</v>
      </c>
      <c r="B352" s="4" t="s">
        <v>728</v>
      </c>
      <c r="C352" s="5" t="s">
        <v>340</v>
      </c>
      <c r="D352" s="4" t="s">
        <v>70</v>
      </c>
      <c r="E352" s="4" t="s">
        <v>71</v>
      </c>
      <c r="F352" s="15">
        <v>41.283222000000002</v>
      </c>
      <c r="G352" s="15">
        <v>17.616797999999999</v>
      </c>
      <c r="H352" s="16">
        <v>-1013</v>
      </c>
      <c r="I352" s="4" t="s">
        <v>981</v>
      </c>
      <c r="J352" s="4" t="s">
        <v>16</v>
      </c>
      <c r="K352" s="6">
        <v>40.820999999999998</v>
      </c>
      <c r="L352" s="6">
        <v>14.426</v>
      </c>
      <c r="M352" s="5" t="s">
        <v>340</v>
      </c>
      <c r="N352" s="5" t="s">
        <v>340</v>
      </c>
      <c r="O352" s="4" t="s">
        <v>295</v>
      </c>
      <c r="P352" s="5">
        <v>28</v>
      </c>
      <c r="Q352" s="5" t="s">
        <v>340</v>
      </c>
      <c r="R352" s="4" t="s">
        <v>41</v>
      </c>
      <c r="S352" s="4" t="s">
        <v>1121</v>
      </c>
      <c r="T352" s="7">
        <v>21147</v>
      </c>
      <c r="U352" s="7">
        <v>21840</v>
      </c>
      <c r="V352" s="7">
        <v>22339</v>
      </c>
      <c r="W352" s="15" t="s">
        <v>1329</v>
      </c>
      <c r="X352" s="15" t="s">
        <v>1050</v>
      </c>
      <c r="Y352" s="7">
        <v>18220</v>
      </c>
      <c r="Z352" s="7">
        <v>140</v>
      </c>
      <c r="AA352" s="7" t="s">
        <v>340</v>
      </c>
      <c r="AB352" s="7" t="s">
        <v>340</v>
      </c>
      <c r="AC352" s="7">
        <v>19280</v>
      </c>
      <c r="AD352" s="7">
        <v>960</v>
      </c>
      <c r="AE352" s="7">
        <v>21840</v>
      </c>
      <c r="AF352" s="7" t="s">
        <v>938</v>
      </c>
      <c r="AG352" s="7" t="s">
        <v>340</v>
      </c>
      <c r="AH352" s="5">
        <v>1</v>
      </c>
      <c r="AI352" s="5">
        <v>1</v>
      </c>
      <c r="AJ352" s="9">
        <f>IF(AND(ISNUMBER(F352),ISNUMBER(G352),ISNUMBER(K352),ISNUMBER(L352)),ACOS(MIN(1,COS(RADIANS(90-F352))*COS(RADIANS(90-K352))+SIN(RADIANS(90-F352))*SIN(RADIANS(90-K352))*COS(RADIANS(G352-L352))))*6371,"N/A")</f>
        <v>272.43437488650625</v>
      </c>
      <c r="AK352" s="10">
        <f>IF(AND(ISNUMBER(F352),ISNUMBER(G352),ISNUMBER(K352),ISNUMBER(L352)),MOD(DEGREES(ATAN2(COS(RADIANS(K352))*SIN(RADIANS(F352))-SIN(RADIANS(K352))*COS(RADIANS(F352))*COS(RADIANS(G352-L352)),SIN(RADIANS(G352-L352))*COS(RADIANS(F352))))+360,360),"N/A")</f>
        <v>78.081087346937466</v>
      </c>
      <c r="AL352" s="10" t="str">
        <f>IF(AND(ISNUMBER(F352),ISNUMBER(G352),ISNUMBER(M352),ISNUMBER(N352)),ACOS(MIN(1,COS(RADIANS(90-F352))*COS(RADIANS(90-M352))+SIN(RADIANS(90-F352))*SIN(RADIANS(90-M352))*COS(RADIANS(G352-N352))))*6371,"N/A")</f>
        <v>N/A</v>
      </c>
      <c r="AM352" s="10" t="str">
        <f>IF(AND(ISNUMBER(F352),ISNUMBER(G352),ISNUMBER(M352),ISNUMBER(N352)),MOD(DEGREES(ATAN2(COS(RADIANS(M352))*SIN(RADIANS(F352))-SIN(RADIANS(M352))*COS(RADIANS(F352))*COS(RADIANS(G352-N352)),SIN(RADIANS(G352-N352))*COS(RADIANS(F352))))+360,360),"N/A")</f>
        <v>N/A</v>
      </c>
      <c r="AN352" s="2"/>
      <c r="AO352" s="2"/>
    </row>
    <row r="353" spans="1:41" x14ac:dyDescent="0.2">
      <c r="A353" s="4" t="s">
        <v>274</v>
      </c>
      <c r="B353" s="4" t="s">
        <v>47</v>
      </c>
      <c r="C353" s="5">
        <v>600</v>
      </c>
      <c r="D353" s="4" t="s">
        <v>32</v>
      </c>
      <c r="E353" s="4" t="s">
        <v>48</v>
      </c>
      <c r="F353" s="15">
        <v>40.931100000000001</v>
      </c>
      <c r="G353" s="15">
        <v>15.605399999999999</v>
      </c>
      <c r="H353" s="16">
        <v>656</v>
      </c>
      <c r="I353" s="4" t="s">
        <v>981</v>
      </c>
      <c r="J353" s="4" t="s">
        <v>15</v>
      </c>
      <c r="K353" s="6">
        <v>40.826999999999998</v>
      </c>
      <c r="L353" s="6">
        <v>14.138999999999999</v>
      </c>
      <c r="M353" s="5" t="s">
        <v>340</v>
      </c>
      <c r="N353" s="5" t="s">
        <v>340</v>
      </c>
      <c r="O353" s="4" t="s">
        <v>326</v>
      </c>
      <c r="P353" s="5">
        <v>7</v>
      </c>
      <c r="Q353" s="5">
        <v>9999</v>
      </c>
      <c r="R353" s="4" t="s">
        <v>41</v>
      </c>
      <c r="S353" s="4" t="s">
        <v>1121</v>
      </c>
      <c r="T353" s="7">
        <v>11209</v>
      </c>
      <c r="U353" s="7">
        <v>11611</v>
      </c>
      <c r="V353" s="7">
        <v>12009</v>
      </c>
      <c r="W353" s="15" t="s">
        <v>928</v>
      </c>
      <c r="X353" s="15" t="s">
        <v>1368</v>
      </c>
      <c r="Y353" s="7" t="s">
        <v>340</v>
      </c>
      <c r="Z353" s="7" t="s">
        <v>340</v>
      </c>
      <c r="AA353" s="7" t="s">
        <v>340</v>
      </c>
      <c r="AB353" s="7" t="s">
        <v>340</v>
      </c>
      <c r="AC353" s="7">
        <v>11980</v>
      </c>
      <c r="AD353" s="7">
        <v>590</v>
      </c>
      <c r="AE353" s="7">
        <v>11609</v>
      </c>
      <c r="AF353" s="7">
        <v>200</v>
      </c>
      <c r="AG353" s="7" t="s">
        <v>340</v>
      </c>
      <c r="AH353" s="5">
        <v>1</v>
      </c>
      <c r="AI353" s="5">
        <v>1</v>
      </c>
      <c r="AJ353" s="9">
        <f>IF(AND(ISNUMBER(F353),ISNUMBER(G353),ISNUMBER(K353),ISNUMBER(L353)),ACOS(MIN(1,COS(RADIANS(90-F353))*COS(RADIANS(90-K353))+SIN(RADIANS(90-F353))*SIN(RADIANS(90-K353))*COS(RADIANS(G353-L353))))*6371,"N/A")</f>
        <v>123.82638241899673</v>
      </c>
      <c r="AK353" s="10">
        <f>IF(AND(ISNUMBER(F353),ISNUMBER(G353),ISNUMBER(K353),ISNUMBER(L353)),MOD(DEGREES(ATAN2(COS(RADIANS(K353))*SIN(RADIANS(F353))-SIN(RADIANS(K353))*COS(RADIANS(F353))*COS(RADIANS(G353-L353)),SIN(RADIANS(G353-L353))*COS(RADIANS(F353))))+360,360),"N/A")</f>
        <v>84.156599944321783</v>
      </c>
      <c r="AL353" s="10" t="str">
        <f>IF(AND(ISNUMBER(F353),ISNUMBER(G353),ISNUMBER(M353),ISNUMBER(N353)),ACOS(MIN(1,COS(RADIANS(90-F353))*COS(RADIANS(90-M353))+SIN(RADIANS(90-F353))*SIN(RADIANS(90-M353))*COS(RADIANS(G353-N353))))*6371,"N/A")</f>
        <v>N/A</v>
      </c>
      <c r="AM353" s="10" t="str">
        <f>IF(AND(ISNUMBER(F353),ISNUMBER(G353),ISNUMBER(M353),ISNUMBER(N353)),MOD(DEGREES(ATAN2(COS(RADIANS(M353))*SIN(RADIANS(F353))-SIN(RADIANS(M353))*COS(RADIANS(F353))*COS(RADIANS(G353-N353)),SIN(RADIANS(G353-N353))*COS(RADIANS(F353))))+360,360),"N/A")</f>
        <v>N/A</v>
      </c>
      <c r="AN353" s="2"/>
      <c r="AO353" s="2"/>
    </row>
    <row r="354" spans="1:41" x14ac:dyDescent="0.2">
      <c r="A354" s="4" t="s">
        <v>1186</v>
      </c>
      <c r="B354" s="4" t="s">
        <v>597</v>
      </c>
      <c r="C354" s="5" t="s">
        <v>340</v>
      </c>
      <c r="D354" s="4" t="s">
        <v>70</v>
      </c>
      <c r="E354" s="4" t="s">
        <v>595</v>
      </c>
      <c r="F354" s="15">
        <v>40.433883000000002</v>
      </c>
      <c r="G354" s="15">
        <v>29.533317</v>
      </c>
      <c r="H354" s="16">
        <v>85</v>
      </c>
      <c r="I354" s="4" t="s">
        <v>600</v>
      </c>
      <c r="J354" s="4" t="s">
        <v>16</v>
      </c>
      <c r="K354" s="6">
        <v>40.820999999999998</v>
      </c>
      <c r="L354" s="6">
        <v>14.426</v>
      </c>
      <c r="M354" s="5" t="s">
        <v>340</v>
      </c>
      <c r="N354" s="5" t="s">
        <v>340</v>
      </c>
      <c r="O354" s="4" t="s">
        <v>296</v>
      </c>
      <c r="P354" s="5" t="s">
        <v>340</v>
      </c>
      <c r="Q354" s="5" t="s">
        <v>340</v>
      </c>
      <c r="R354" s="4" t="s">
        <v>41</v>
      </c>
      <c r="S354" s="4" t="s">
        <v>603</v>
      </c>
      <c r="T354" s="7">
        <v>3500</v>
      </c>
      <c r="U354" s="7">
        <v>3600</v>
      </c>
      <c r="V354" s="7">
        <v>3700</v>
      </c>
      <c r="W354" s="15" t="s">
        <v>1094</v>
      </c>
      <c r="X354" s="15" t="s">
        <v>1051</v>
      </c>
      <c r="Y354" s="7">
        <v>3225</v>
      </c>
      <c r="Z354" s="7">
        <v>140</v>
      </c>
      <c r="AA354" s="7" t="s">
        <v>340</v>
      </c>
      <c r="AB354" s="7" t="s">
        <v>340</v>
      </c>
      <c r="AC354" s="7">
        <v>4150</v>
      </c>
      <c r="AD354" s="7">
        <v>220</v>
      </c>
      <c r="AE354" s="7">
        <v>3414</v>
      </c>
      <c r="AF354" s="7" t="s">
        <v>939</v>
      </c>
      <c r="AG354" s="7" t="s">
        <v>340</v>
      </c>
      <c r="AH354" s="5">
        <v>1</v>
      </c>
      <c r="AI354" s="5">
        <v>1</v>
      </c>
      <c r="AJ354" s="9">
        <f>IF(AND(ISNUMBER(F354),ISNUMBER(G354),ISNUMBER(K354),ISNUMBER(L354)),ACOS(MIN(1,COS(RADIANS(90-F354))*COS(RADIANS(90-K354))+SIN(RADIANS(90-F354))*SIN(RADIANS(90-K354))*COS(RADIANS(G354-L354))))*6371,"N/A")</f>
        <v>1274.0914857594646</v>
      </c>
      <c r="AK354" s="10">
        <f>IF(AND(ISNUMBER(F354),ISNUMBER(G354),ISNUMBER(K354),ISNUMBER(L354)),MOD(DEGREES(ATAN2(COS(RADIANS(K354))*SIN(RADIANS(F354))-SIN(RADIANS(K354))*COS(RADIANS(F354))*COS(RADIANS(G354-L354)),SIN(RADIANS(G354-L354))*COS(RADIANS(F354))))+360,360),"N/A")</f>
        <v>86.987554191114441</v>
      </c>
      <c r="AL354" s="10" t="str">
        <f>IF(AND(ISNUMBER(F354),ISNUMBER(G354),ISNUMBER(M354),ISNUMBER(N354)),ACOS(MIN(1,COS(RADIANS(90-F354))*COS(RADIANS(90-M354))+SIN(RADIANS(90-F354))*SIN(RADIANS(90-M354))*COS(RADIANS(G354-N354))))*6371,"N/A")</f>
        <v>N/A</v>
      </c>
      <c r="AM354" s="10" t="str">
        <f>IF(AND(ISNUMBER(F354),ISNUMBER(G354),ISNUMBER(M354),ISNUMBER(N354)),MOD(DEGREES(ATAN2(COS(RADIANS(M354))*SIN(RADIANS(F354))-SIN(RADIANS(M354))*COS(RADIANS(F354))*COS(RADIANS(G354-N354)),SIN(RADIANS(G354-N354))*COS(RADIANS(F354))))+360,360),"N/A")</f>
        <v>N/A</v>
      </c>
      <c r="AN354" s="2"/>
      <c r="AO354" s="2"/>
    </row>
    <row r="355" spans="1:41" x14ac:dyDescent="0.2">
      <c r="A355" s="4" t="s">
        <v>394</v>
      </c>
      <c r="B355" s="4" t="s">
        <v>393</v>
      </c>
      <c r="C355" s="5" t="s">
        <v>340</v>
      </c>
      <c r="D355" s="4" t="s">
        <v>70</v>
      </c>
      <c r="E355" s="4" t="s">
        <v>395</v>
      </c>
      <c r="F355" s="15">
        <v>27.684999999999999</v>
      </c>
      <c r="G355" s="15">
        <v>34.595999999999997</v>
      </c>
      <c r="H355" s="16" t="s">
        <v>340</v>
      </c>
      <c r="I355" s="4" t="s">
        <v>396</v>
      </c>
      <c r="J355" s="4" t="s">
        <v>42</v>
      </c>
      <c r="K355" s="6">
        <v>37.747999999999998</v>
      </c>
      <c r="L355" s="6">
        <v>14.999000000000001</v>
      </c>
      <c r="M355" s="5" t="s">
        <v>340</v>
      </c>
      <c r="N355" s="5" t="s">
        <v>340</v>
      </c>
      <c r="O355" s="4" t="s">
        <v>874</v>
      </c>
      <c r="P355" s="5" t="s">
        <v>896</v>
      </c>
      <c r="Q355" s="5" t="s">
        <v>397</v>
      </c>
      <c r="R355" s="4" t="s">
        <v>698</v>
      </c>
      <c r="S355" s="4" t="s">
        <v>1121</v>
      </c>
      <c r="T355" s="7">
        <v>17048</v>
      </c>
      <c r="U355" s="7">
        <v>17294</v>
      </c>
      <c r="V355" s="7">
        <v>17717</v>
      </c>
      <c r="W355" s="15" t="s">
        <v>934</v>
      </c>
      <c r="X355" s="15" t="s">
        <v>1365</v>
      </c>
      <c r="Y355" s="7">
        <v>14650</v>
      </c>
      <c r="Z355" s="7">
        <v>90</v>
      </c>
      <c r="AA355" s="7" t="s">
        <v>340</v>
      </c>
      <c r="AB355" s="7" t="s">
        <v>340</v>
      </c>
      <c r="AC355" s="7">
        <v>16440</v>
      </c>
      <c r="AD355" s="7">
        <v>820</v>
      </c>
      <c r="AE355" s="7">
        <v>17304</v>
      </c>
      <c r="AF355" s="7">
        <v>152</v>
      </c>
      <c r="AG355" s="7" t="s">
        <v>340</v>
      </c>
      <c r="AH355" s="5">
        <v>1</v>
      </c>
      <c r="AI355" s="5">
        <v>2</v>
      </c>
      <c r="AJ355" s="9">
        <f>IF(AND(ISNUMBER(F355),ISNUMBER(G355),ISNUMBER(K355),ISNUMBER(L355)),ACOS(MIN(1,COS(RADIANS(90-F355))*COS(RADIANS(90-K355))+SIN(RADIANS(90-F355))*SIN(RADIANS(90-K355))*COS(RADIANS(G355-L355))))*6371,"N/A")</f>
        <v>2141.1032084071712</v>
      </c>
      <c r="AK355" s="10">
        <f>IF(AND(ISNUMBER(F355),ISNUMBER(G355),ISNUMBER(K355),ISNUMBER(L355)),MOD(DEGREES(ATAN2(COS(RADIANS(K355))*SIN(RADIANS(F355))-SIN(RADIANS(K355))*COS(RADIANS(F355))*COS(RADIANS(G355-L355)),SIN(RADIANS(G355-L355))*COS(RADIANS(F355))))+360,360),"N/A")</f>
        <v>115.761261517489</v>
      </c>
      <c r="AL355" s="10" t="str">
        <f>IF(AND(ISNUMBER(F355),ISNUMBER(G355),ISNUMBER(M355),ISNUMBER(N355)),ACOS(MIN(1,COS(RADIANS(90-F355))*COS(RADIANS(90-M355))+SIN(RADIANS(90-F355))*SIN(RADIANS(90-M355))*COS(RADIANS(G355-N355))))*6371,"N/A")</f>
        <v>N/A</v>
      </c>
      <c r="AM355" s="10" t="str">
        <f>IF(AND(ISNUMBER(F355),ISNUMBER(G355),ISNUMBER(M355),ISNUMBER(N355)),MOD(DEGREES(ATAN2(COS(RADIANS(M355))*SIN(RADIANS(F355))-SIN(RADIANS(M355))*COS(RADIANS(F355))*COS(RADIANS(G355-N355)),SIN(RADIANS(G355-N355))*COS(RADIANS(F355))))+360,360),"N/A")</f>
        <v>N/A</v>
      </c>
      <c r="AN355" s="2"/>
      <c r="AO355" s="2"/>
    </row>
    <row r="356" spans="1:41" x14ac:dyDescent="0.2">
      <c r="A356" s="4" t="s">
        <v>398</v>
      </c>
      <c r="B356" s="4" t="s">
        <v>393</v>
      </c>
      <c r="C356" s="5" t="s">
        <v>340</v>
      </c>
      <c r="D356" s="4" t="s">
        <v>70</v>
      </c>
      <c r="E356" s="4" t="s">
        <v>395</v>
      </c>
      <c r="F356" s="15">
        <v>27.684999999999999</v>
      </c>
      <c r="G356" s="15">
        <v>34.595999999999997</v>
      </c>
      <c r="H356" s="16" t="s">
        <v>340</v>
      </c>
      <c r="I356" s="4" t="s">
        <v>396</v>
      </c>
      <c r="J356" s="4" t="s">
        <v>42</v>
      </c>
      <c r="K356" s="6">
        <v>37.747999999999998</v>
      </c>
      <c r="L356" s="6">
        <v>14.999000000000001</v>
      </c>
      <c r="M356" s="5" t="s">
        <v>340</v>
      </c>
      <c r="N356" s="5" t="s">
        <v>340</v>
      </c>
      <c r="O356" s="4" t="s">
        <v>874</v>
      </c>
      <c r="P356" s="5">
        <v>32</v>
      </c>
      <c r="Q356" s="5" t="s">
        <v>399</v>
      </c>
      <c r="R356" s="4" t="s">
        <v>698</v>
      </c>
      <c r="S356" s="4" t="s">
        <v>875</v>
      </c>
      <c r="T356" s="7">
        <v>17048</v>
      </c>
      <c r="U356" s="7">
        <v>17294</v>
      </c>
      <c r="V356" s="7">
        <v>17717</v>
      </c>
      <c r="W356" s="15" t="s">
        <v>934</v>
      </c>
      <c r="X356" s="15" t="s">
        <v>1365</v>
      </c>
      <c r="Y356" s="7">
        <v>14650</v>
      </c>
      <c r="Z356" s="7">
        <v>90</v>
      </c>
      <c r="AA356" s="7" t="s">
        <v>340</v>
      </c>
      <c r="AB356" s="7" t="s">
        <v>340</v>
      </c>
      <c r="AC356" s="7">
        <v>16440</v>
      </c>
      <c r="AD356" s="7">
        <v>820</v>
      </c>
      <c r="AE356" s="7">
        <v>17304</v>
      </c>
      <c r="AF356" s="7">
        <v>152</v>
      </c>
      <c r="AG356" s="7" t="s">
        <v>340</v>
      </c>
      <c r="AH356" s="5">
        <v>1</v>
      </c>
      <c r="AI356" s="5">
        <v>1</v>
      </c>
      <c r="AJ356" s="9">
        <f>IF(AND(ISNUMBER(F356),ISNUMBER(G356),ISNUMBER(K356),ISNUMBER(L356)),ACOS(MIN(1,COS(RADIANS(90-F356))*COS(RADIANS(90-K356))+SIN(RADIANS(90-F356))*SIN(RADIANS(90-K356))*COS(RADIANS(G356-L356))))*6371,"N/A")</f>
        <v>2141.1032084071712</v>
      </c>
      <c r="AK356" s="10">
        <f>IF(AND(ISNUMBER(F356),ISNUMBER(G356),ISNUMBER(K356),ISNUMBER(L356)),MOD(DEGREES(ATAN2(COS(RADIANS(K356))*SIN(RADIANS(F356))-SIN(RADIANS(K356))*COS(RADIANS(F356))*COS(RADIANS(G356-L356)),SIN(RADIANS(G356-L356))*COS(RADIANS(F356))))+360,360),"N/A")</f>
        <v>115.761261517489</v>
      </c>
      <c r="AL356" s="10" t="str">
        <f>IF(AND(ISNUMBER(F356),ISNUMBER(G356),ISNUMBER(M356),ISNUMBER(N356)),ACOS(MIN(1,COS(RADIANS(90-F356))*COS(RADIANS(90-M356))+SIN(RADIANS(90-F356))*SIN(RADIANS(90-M356))*COS(RADIANS(G356-N356))))*6371,"N/A")</f>
        <v>N/A</v>
      </c>
      <c r="AM356" s="10" t="str">
        <f>IF(AND(ISNUMBER(F356),ISNUMBER(G356),ISNUMBER(M356),ISNUMBER(N356)),MOD(DEGREES(ATAN2(COS(RADIANS(M356))*SIN(RADIANS(F356))-SIN(RADIANS(M356))*COS(RADIANS(F356))*COS(RADIANS(G356-N356)),SIN(RADIANS(G356-N356))*COS(RADIANS(F356))))+360,360),"N/A")</f>
        <v>N/A</v>
      </c>
      <c r="AN356" s="2"/>
      <c r="AO356" s="2"/>
    </row>
    <row r="357" spans="1:41" x14ac:dyDescent="0.2">
      <c r="A357" s="4" t="s">
        <v>400</v>
      </c>
      <c r="B357" s="4" t="s">
        <v>393</v>
      </c>
      <c r="C357" s="5" t="s">
        <v>340</v>
      </c>
      <c r="D357" s="4" t="s">
        <v>70</v>
      </c>
      <c r="E357" s="4" t="s">
        <v>395</v>
      </c>
      <c r="F357" s="15">
        <v>27.684999999999999</v>
      </c>
      <c r="G357" s="15">
        <v>34.595999999999997</v>
      </c>
      <c r="H357" s="16" t="s">
        <v>340</v>
      </c>
      <c r="I357" s="4" t="s">
        <v>396</v>
      </c>
      <c r="J357" s="4" t="s">
        <v>241</v>
      </c>
      <c r="K357" s="6">
        <v>36.404000000000003</v>
      </c>
      <c r="L357" s="6">
        <v>25.396000000000001</v>
      </c>
      <c r="M357" s="5" t="s">
        <v>340</v>
      </c>
      <c r="N357" s="5" t="s">
        <v>340</v>
      </c>
      <c r="O357" s="4" t="s">
        <v>246</v>
      </c>
      <c r="P357" s="5">
        <v>9</v>
      </c>
      <c r="Q357" s="5" t="s">
        <v>401</v>
      </c>
      <c r="R357" s="4" t="s">
        <v>698</v>
      </c>
      <c r="S357" s="4" t="s">
        <v>1121</v>
      </c>
      <c r="T357" s="7">
        <v>21353</v>
      </c>
      <c r="U357" s="7">
        <v>22170</v>
      </c>
      <c r="V357" s="7">
        <v>22575</v>
      </c>
      <c r="W357" s="15" t="s">
        <v>933</v>
      </c>
      <c r="X357" s="15" t="s">
        <v>1358</v>
      </c>
      <c r="Y357" s="7" t="s">
        <v>340</v>
      </c>
      <c r="Z357" s="7" t="s">
        <v>340</v>
      </c>
      <c r="AA357" s="7" t="s">
        <v>340</v>
      </c>
      <c r="AB357" s="7" t="s">
        <v>340</v>
      </c>
      <c r="AC357" s="7" t="s">
        <v>340</v>
      </c>
      <c r="AD357" s="7" t="s">
        <v>340</v>
      </c>
      <c r="AE357" s="7">
        <v>22101</v>
      </c>
      <c r="AF357" s="7">
        <v>308</v>
      </c>
      <c r="AG357" s="7" t="s">
        <v>340</v>
      </c>
      <c r="AH357" s="5">
        <v>1</v>
      </c>
      <c r="AI357" s="5">
        <v>1</v>
      </c>
      <c r="AJ357" s="9">
        <f>IF(AND(ISNUMBER(F357),ISNUMBER(G357),ISNUMBER(K357),ISNUMBER(L357)),ACOS(MIN(1,COS(RADIANS(90-F357))*COS(RADIANS(90-K357))+SIN(RADIANS(90-F357))*SIN(RADIANS(90-K357))*COS(RADIANS(G357-L357))))*6371,"N/A")</f>
        <v>1299.3219925165713</v>
      </c>
      <c r="AK357" s="10">
        <f>IF(AND(ISNUMBER(F357),ISNUMBER(G357),ISNUMBER(K357),ISNUMBER(L357)),MOD(DEGREES(ATAN2(COS(RADIANS(K357))*SIN(RADIANS(F357))-SIN(RADIANS(K357))*COS(RADIANS(F357))*COS(RADIANS(G357-L357)),SIN(RADIANS(G357-L357))*COS(RADIANS(F357))))+360,360),"N/A")</f>
        <v>135.65035413137662</v>
      </c>
      <c r="AL357" s="10" t="str">
        <f>IF(AND(ISNUMBER(F357),ISNUMBER(G357),ISNUMBER(M357),ISNUMBER(N357)),ACOS(MIN(1,COS(RADIANS(90-F357))*COS(RADIANS(90-M357))+SIN(RADIANS(90-F357))*SIN(RADIANS(90-M357))*COS(RADIANS(G357-N357))))*6371,"N/A")</f>
        <v>N/A</v>
      </c>
      <c r="AM357" s="10" t="str">
        <f>IF(AND(ISNUMBER(F357),ISNUMBER(G357),ISNUMBER(M357),ISNUMBER(N357)),MOD(DEGREES(ATAN2(COS(RADIANS(M357))*SIN(RADIANS(F357))-SIN(RADIANS(M357))*COS(RADIANS(F357))*COS(RADIANS(G357-N357)),SIN(RADIANS(G357-N357))*COS(RADIANS(F357))))+360,360),"N/A")</f>
        <v>N/A</v>
      </c>
      <c r="AN357" s="2"/>
      <c r="AO357" s="2"/>
    </row>
    <row r="358" spans="1:41" x14ac:dyDescent="0.2">
      <c r="A358" s="4" t="s">
        <v>230</v>
      </c>
      <c r="B358" s="8" t="s">
        <v>618</v>
      </c>
      <c r="C358" s="20">
        <v>480</v>
      </c>
      <c r="D358" s="4" t="s">
        <v>621</v>
      </c>
      <c r="E358" s="8" t="s">
        <v>619</v>
      </c>
      <c r="F358" s="21">
        <v>41.0167</v>
      </c>
      <c r="G358" s="21">
        <v>20.716699999999999</v>
      </c>
      <c r="H358" s="19">
        <v>693</v>
      </c>
      <c r="I358" s="8" t="s">
        <v>1213</v>
      </c>
      <c r="J358" s="4" t="s">
        <v>42</v>
      </c>
      <c r="K358" s="6">
        <v>37.747999999999998</v>
      </c>
      <c r="L358" s="6">
        <v>14.999000000000001</v>
      </c>
      <c r="M358" s="5" t="s">
        <v>340</v>
      </c>
      <c r="N358" s="5" t="s">
        <v>340</v>
      </c>
      <c r="O358" s="4" t="s">
        <v>424</v>
      </c>
      <c r="P358" s="5">
        <v>10</v>
      </c>
      <c r="Q358" s="5">
        <v>9999</v>
      </c>
      <c r="R358" s="4" t="s">
        <v>184</v>
      </c>
      <c r="S358" s="4" t="s">
        <v>1121</v>
      </c>
      <c r="T358" s="7">
        <v>3213</v>
      </c>
      <c r="U358" s="7">
        <v>3368</v>
      </c>
      <c r="V358" s="7">
        <v>3481</v>
      </c>
      <c r="W358" s="15" t="s">
        <v>909</v>
      </c>
      <c r="X358" s="15" t="s">
        <v>1367</v>
      </c>
      <c r="Y358" s="7">
        <v>3150</v>
      </c>
      <c r="Z358" s="7">
        <v>60</v>
      </c>
      <c r="AA358" s="7" t="s">
        <v>340</v>
      </c>
      <c r="AB358" s="7" t="s">
        <v>340</v>
      </c>
      <c r="AC358" s="7" t="s">
        <v>340</v>
      </c>
      <c r="AD358" s="7" t="s">
        <v>340</v>
      </c>
      <c r="AE358" s="7" t="s">
        <v>340</v>
      </c>
      <c r="AF358" s="7" t="s">
        <v>340</v>
      </c>
      <c r="AG358" s="7" t="s">
        <v>340</v>
      </c>
      <c r="AH358" s="5">
        <v>1</v>
      </c>
      <c r="AI358" s="5">
        <v>1</v>
      </c>
      <c r="AJ358" s="9">
        <f>IF(AND(ISNUMBER(F358),ISNUMBER(G358),ISNUMBER(K358),ISNUMBER(L358)),ACOS(MIN(1,COS(RADIANS(90-F358))*COS(RADIANS(90-K358))+SIN(RADIANS(90-F358))*SIN(RADIANS(90-K358))*COS(RADIANS(G358-L358))))*6371,"N/A")</f>
        <v>610.99311042030217</v>
      </c>
      <c r="AK358" s="10">
        <f>IF(AND(ISNUMBER(F358),ISNUMBER(G358),ISNUMBER(K358),ISNUMBER(L358)),MOD(DEGREES(ATAN2(COS(RADIANS(K358))*SIN(RADIANS(F358))-SIN(RADIANS(K358))*COS(RADIANS(F358))*COS(RADIANS(G358-L358)),SIN(RADIANS(G358-L358))*COS(RADIANS(F358))))+360,360),"N/A")</f>
        <v>51.723188895052829</v>
      </c>
      <c r="AL358" s="10" t="str">
        <f>IF(AND(ISNUMBER(F358),ISNUMBER(G358),ISNUMBER(M358),ISNUMBER(N358)),ACOS(MIN(1,COS(RADIANS(90-F358))*COS(RADIANS(90-M358))+SIN(RADIANS(90-F358))*SIN(RADIANS(90-M358))*COS(RADIANS(G358-N358))))*6371,"N/A")</f>
        <v>N/A</v>
      </c>
      <c r="AM358" s="10" t="str">
        <f>IF(AND(ISNUMBER(F358),ISNUMBER(G358),ISNUMBER(M358),ISNUMBER(N358)),MOD(DEGREES(ATAN2(COS(RADIANS(M358))*SIN(RADIANS(F358))-SIN(RADIANS(M358))*COS(RADIANS(F358))*COS(RADIANS(G358-N358)),SIN(RADIANS(G358-N358))*COS(RADIANS(F358))))+360,360),"N/A")</f>
        <v>N/A</v>
      </c>
      <c r="AN358" s="2"/>
      <c r="AO358" s="2"/>
    </row>
    <row r="359" spans="1:41" x14ac:dyDescent="0.2">
      <c r="A359" s="4" t="s">
        <v>231</v>
      </c>
      <c r="B359" s="8" t="s">
        <v>618</v>
      </c>
      <c r="C359" s="20">
        <v>480</v>
      </c>
      <c r="D359" s="4" t="s">
        <v>621</v>
      </c>
      <c r="E359" s="8" t="s">
        <v>619</v>
      </c>
      <c r="F359" s="21">
        <v>41.0167</v>
      </c>
      <c r="G359" s="21">
        <v>20.716699999999999</v>
      </c>
      <c r="H359" s="19">
        <v>693</v>
      </c>
      <c r="I359" s="8" t="s">
        <v>1213</v>
      </c>
      <c r="J359" s="4" t="s">
        <v>16</v>
      </c>
      <c r="K359" s="6">
        <v>40.820999999999998</v>
      </c>
      <c r="L359" s="6">
        <v>14.426</v>
      </c>
      <c r="M359" s="5" t="s">
        <v>340</v>
      </c>
      <c r="N359" s="5" t="s">
        <v>340</v>
      </c>
      <c r="O359" s="4" t="s">
        <v>883</v>
      </c>
      <c r="P359" s="5">
        <v>7</v>
      </c>
      <c r="Q359" s="5">
        <v>9999</v>
      </c>
      <c r="R359" s="4" t="s">
        <v>184</v>
      </c>
      <c r="S359" s="4" t="s">
        <v>1141</v>
      </c>
      <c r="T359" s="7">
        <v>1438</v>
      </c>
      <c r="U359" s="7">
        <v>1458</v>
      </c>
      <c r="V359" s="7">
        <v>1478</v>
      </c>
      <c r="W359" s="15" t="s">
        <v>898</v>
      </c>
      <c r="X359" s="15" t="s">
        <v>897</v>
      </c>
      <c r="Y359" s="7" t="s">
        <v>340</v>
      </c>
      <c r="Z359" s="7" t="s">
        <v>340</v>
      </c>
      <c r="AA359" s="7" t="s">
        <v>340</v>
      </c>
      <c r="AB359" s="7" t="s">
        <v>340</v>
      </c>
      <c r="AC359" s="7" t="s">
        <v>340</v>
      </c>
      <c r="AD359" s="7" t="s">
        <v>340</v>
      </c>
      <c r="AE359" s="7" t="s">
        <v>340</v>
      </c>
      <c r="AF359" s="7" t="s">
        <v>340</v>
      </c>
      <c r="AG359" s="7" t="s">
        <v>902</v>
      </c>
      <c r="AH359" s="5">
        <v>1</v>
      </c>
      <c r="AI359" s="5">
        <v>1</v>
      </c>
      <c r="AJ359" s="9">
        <f>IF(AND(ISNUMBER(F359),ISNUMBER(G359),ISNUMBER(K359),ISNUMBER(L359)),ACOS(MIN(1,COS(RADIANS(90-F359))*COS(RADIANS(90-K359))+SIN(RADIANS(90-F359))*SIN(RADIANS(90-K359))*COS(RADIANS(G359-L359))))*6371,"N/A")</f>
        <v>528.89725451624861</v>
      </c>
      <c r="AK359" s="10">
        <f>IF(AND(ISNUMBER(F359),ISNUMBER(G359),ISNUMBER(K359),ISNUMBER(L359)),MOD(DEGREES(ATAN2(COS(RADIANS(K359))*SIN(RADIANS(F359))-SIN(RADIANS(K359))*COS(RADIANS(F359))*COS(RADIANS(G359-L359)),SIN(RADIANS(G359-L359))*COS(RADIANS(F359))))+360,360),"N/A")</f>
        <v>85.583490354230946</v>
      </c>
      <c r="AL359" s="10" t="str">
        <f>IF(AND(ISNUMBER(F359),ISNUMBER(G359),ISNUMBER(M359),ISNUMBER(N359)),ACOS(MIN(1,COS(RADIANS(90-F359))*COS(RADIANS(90-M359))+SIN(RADIANS(90-F359))*SIN(RADIANS(90-M359))*COS(RADIANS(G359-N359))))*6371,"N/A")</f>
        <v>N/A</v>
      </c>
      <c r="AM359" s="10" t="str">
        <f>IF(AND(ISNUMBER(F359),ISNUMBER(G359),ISNUMBER(M359),ISNUMBER(N359)),MOD(DEGREES(ATAN2(COS(RADIANS(M359))*SIN(RADIANS(F359))-SIN(RADIANS(M359))*COS(RADIANS(F359))*COS(RADIANS(G359-N359)),SIN(RADIANS(G359-N359))*COS(RADIANS(F359))))+360,360),"N/A")</f>
        <v>N/A</v>
      </c>
      <c r="AN359" s="2"/>
      <c r="AO359" s="2"/>
    </row>
    <row r="360" spans="1:41" x14ac:dyDescent="0.2">
      <c r="A360" s="4" t="s">
        <v>228</v>
      </c>
      <c r="B360" s="8" t="s">
        <v>618</v>
      </c>
      <c r="C360" s="20">
        <v>480</v>
      </c>
      <c r="D360" s="4" t="s">
        <v>621</v>
      </c>
      <c r="E360" s="8" t="s">
        <v>619</v>
      </c>
      <c r="F360" s="21">
        <v>41.0167</v>
      </c>
      <c r="G360" s="21">
        <v>20.716699999999999</v>
      </c>
      <c r="H360" s="19">
        <v>693</v>
      </c>
      <c r="I360" s="8" t="s">
        <v>1213</v>
      </c>
      <c r="J360" s="4" t="s">
        <v>16</v>
      </c>
      <c r="K360" s="6">
        <v>40.820999999999998</v>
      </c>
      <c r="L360" s="6">
        <v>14.426</v>
      </c>
      <c r="M360" s="5" t="s">
        <v>340</v>
      </c>
      <c r="N360" s="5" t="s">
        <v>340</v>
      </c>
      <c r="O360" s="4" t="s">
        <v>229</v>
      </c>
      <c r="P360" s="5">
        <v>9</v>
      </c>
      <c r="Q360" s="5">
        <v>9999</v>
      </c>
      <c r="R360" s="4" t="s">
        <v>184</v>
      </c>
      <c r="S360" s="4" t="s">
        <v>1121</v>
      </c>
      <c r="T360" s="12">
        <v>8723</v>
      </c>
      <c r="U360" s="7">
        <v>8866</v>
      </c>
      <c r="V360" s="12">
        <v>9009</v>
      </c>
      <c r="W360" s="15" t="s">
        <v>1091</v>
      </c>
      <c r="X360" s="21" t="s">
        <v>1360</v>
      </c>
      <c r="Y360" s="7">
        <v>8010</v>
      </c>
      <c r="Z360" s="7">
        <v>35</v>
      </c>
      <c r="AA360" s="7" t="s">
        <v>340</v>
      </c>
      <c r="AB360" s="7" t="s">
        <v>340</v>
      </c>
      <c r="AC360" s="7">
        <v>9680</v>
      </c>
      <c r="AD360" s="7">
        <v>480</v>
      </c>
      <c r="AE360" s="7" t="s">
        <v>340</v>
      </c>
      <c r="AF360" s="7" t="s">
        <v>340</v>
      </c>
      <c r="AG360" s="7" t="s">
        <v>340</v>
      </c>
      <c r="AH360" s="5">
        <v>1</v>
      </c>
      <c r="AI360" s="5">
        <v>1</v>
      </c>
      <c r="AJ360" s="9">
        <f>IF(AND(ISNUMBER(F360),ISNUMBER(G360),ISNUMBER(K360),ISNUMBER(L360)),ACOS(MIN(1,COS(RADIANS(90-F360))*COS(RADIANS(90-K360))+SIN(RADIANS(90-F360))*SIN(RADIANS(90-K360))*COS(RADIANS(G360-L360))))*6371,"N/A")</f>
        <v>528.89725451624861</v>
      </c>
      <c r="AK360" s="10">
        <f>IF(AND(ISNUMBER(F360),ISNUMBER(G360),ISNUMBER(K360),ISNUMBER(L360)),MOD(DEGREES(ATAN2(COS(RADIANS(K360))*SIN(RADIANS(F360))-SIN(RADIANS(K360))*COS(RADIANS(F360))*COS(RADIANS(G360-L360)),SIN(RADIANS(G360-L360))*COS(RADIANS(F360))))+360,360),"N/A")</f>
        <v>85.583490354230946</v>
      </c>
      <c r="AL360" s="10" t="str">
        <f>IF(AND(ISNUMBER(F360),ISNUMBER(G360),ISNUMBER(M360),ISNUMBER(N360)),ACOS(MIN(1,COS(RADIANS(90-F360))*COS(RADIANS(90-M360))+SIN(RADIANS(90-F360))*SIN(RADIANS(90-M360))*COS(RADIANS(G360-N360))))*6371,"N/A")</f>
        <v>N/A</v>
      </c>
      <c r="AM360" s="10" t="str">
        <f>IF(AND(ISNUMBER(F360),ISNUMBER(G360),ISNUMBER(M360),ISNUMBER(N360)),MOD(DEGREES(ATAN2(COS(RADIANS(M360))*SIN(RADIANS(F360))-SIN(RADIANS(M360))*COS(RADIANS(F360))*COS(RADIANS(G360-N360)),SIN(RADIANS(G360-N360))*COS(RADIANS(F360))))+360,360),"N/A")</f>
        <v>N/A</v>
      </c>
      <c r="AN360" s="2"/>
      <c r="AO360" s="2"/>
    </row>
    <row r="361" spans="1:41" x14ac:dyDescent="0.2">
      <c r="A361" s="4" t="s">
        <v>624</v>
      </c>
      <c r="B361" s="8" t="s">
        <v>623</v>
      </c>
      <c r="C361" s="20" t="s">
        <v>340</v>
      </c>
      <c r="D361" s="4" t="s">
        <v>621</v>
      </c>
      <c r="E361" s="8" t="s">
        <v>619</v>
      </c>
      <c r="F361" s="21">
        <v>41.0167</v>
      </c>
      <c r="G361" s="21">
        <v>20.716699999999999</v>
      </c>
      <c r="H361" s="19">
        <v>693</v>
      </c>
      <c r="I361" s="8" t="s">
        <v>622</v>
      </c>
      <c r="J361" s="4" t="s">
        <v>42</v>
      </c>
      <c r="K361" s="6">
        <v>37.747999999999998</v>
      </c>
      <c r="L361" s="6">
        <v>14.999000000000001</v>
      </c>
      <c r="M361" s="5" t="s">
        <v>340</v>
      </c>
      <c r="N361" s="5" t="s">
        <v>340</v>
      </c>
      <c r="O361" s="4" t="s">
        <v>424</v>
      </c>
      <c r="P361" s="5">
        <v>15</v>
      </c>
      <c r="Q361" s="5" t="s">
        <v>340</v>
      </c>
      <c r="R361" s="4" t="s">
        <v>184</v>
      </c>
      <c r="S361" s="4" t="s">
        <v>1142</v>
      </c>
      <c r="T361" s="7">
        <v>3213</v>
      </c>
      <c r="U361" s="7">
        <v>3368</v>
      </c>
      <c r="V361" s="7">
        <v>3481</v>
      </c>
      <c r="W361" s="15" t="s">
        <v>909</v>
      </c>
      <c r="X361" s="15" t="s">
        <v>1367</v>
      </c>
      <c r="Y361" s="7">
        <v>3150</v>
      </c>
      <c r="Z361" s="7">
        <v>60</v>
      </c>
      <c r="AA361" s="7" t="s">
        <v>340</v>
      </c>
      <c r="AB361" s="7" t="s">
        <v>340</v>
      </c>
      <c r="AC361" s="7" t="s">
        <v>340</v>
      </c>
      <c r="AD361" s="7" t="s">
        <v>340</v>
      </c>
      <c r="AE361" s="7" t="s">
        <v>340</v>
      </c>
      <c r="AF361" s="7" t="s">
        <v>340</v>
      </c>
      <c r="AG361" s="7" t="s">
        <v>340</v>
      </c>
      <c r="AH361" s="5">
        <v>1</v>
      </c>
      <c r="AI361" s="5">
        <v>1</v>
      </c>
      <c r="AJ361" s="9">
        <f>IF(AND(ISNUMBER(F361),ISNUMBER(G361),ISNUMBER(K361),ISNUMBER(L361)),ACOS(MIN(1,COS(RADIANS(90-F361))*COS(RADIANS(90-K361))+SIN(RADIANS(90-F361))*SIN(RADIANS(90-K361))*COS(RADIANS(G361-L361))))*6371,"N/A")</f>
        <v>610.99311042030217</v>
      </c>
      <c r="AK361" s="10">
        <f>IF(AND(ISNUMBER(F361),ISNUMBER(G361),ISNUMBER(K361),ISNUMBER(L361)),MOD(DEGREES(ATAN2(COS(RADIANS(K361))*SIN(RADIANS(F361))-SIN(RADIANS(K361))*COS(RADIANS(F361))*COS(RADIANS(G361-L361)),SIN(RADIANS(G361-L361))*COS(RADIANS(F361))))+360,360),"N/A")</f>
        <v>51.723188895052829</v>
      </c>
      <c r="AL361" s="10" t="str">
        <f>IF(AND(ISNUMBER(F361),ISNUMBER(G361),ISNUMBER(M361),ISNUMBER(N361)),ACOS(MIN(1,COS(RADIANS(90-F361))*COS(RADIANS(90-M361))+SIN(RADIANS(90-F361))*SIN(RADIANS(90-M361))*COS(RADIANS(G361-N361))))*6371,"N/A")</f>
        <v>N/A</v>
      </c>
      <c r="AM361" s="10" t="str">
        <f>IF(AND(ISNUMBER(F361),ISNUMBER(G361),ISNUMBER(M361),ISNUMBER(N361)),MOD(DEGREES(ATAN2(COS(RADIANS(M361))*SIN(RADIANS(F361))-SIN(RADIANS(M361))*COS(RADIANS(F361))*COS(RADIANS(G361-N361)),SIN(RADIANS(G361-N361))*COS(RADIANS(F361))))+360,360),"N/A")</f>
        <v>N/A</v>
      </c>
      <c r="AN361" s="2"/>
      <c r="AO361" s="2"/>
    </row>
    <row r="362" spans="1:41" x14ac:dyDescent="0.2">
      <c r="A362" s="4" t="s">
        <v>383</v>
      </c>
      <c r="B362" s="4" t="s">
        <v>127</v>
      </c>
      <c r="C362" s="5">
        <v>705</v>
      </c>
      <c r="D362" s="4" t="s">
        <v>70</v>
      </c>
      <c r="E362" s="4" t="s">
        <v>103</v>
      </c>
      <c r="F362" s="15">
        <v>40.83</v>
      </c>
      <c r="G362" s="15">
        <v>27.75</v>
      </c>
      <c r="H362" s="16">
        <v>-566</v>
      </c>
      <c r="I362" s="4" t="s">
        <v>226</v>
      </c>
      <c r="J362" s="4" t="s">
        <v>241</v>
      </c>
      <c r="K362" s="6">
        <v>36.404000000000003</v>
      </c>
      <c r="L362" s="6">
        <v>25.396000000000001</v>
      </c>
      <c r="M362" s="5" t="s">
        <v>340</v>
      </c>
      <c r="N362" s="5" t="s">
        <v>340</v>
      </c>
      <c r="O362" s="4" t="s">
        <v>246</v>
      </c>
      <c r="P362" s="5">
        <v>13</v>
      </c>
      <c r="Q362" s="5">
        <v>9999</v>
      </c>
      <c r="R362" s="4" t="s">
        <v>41</v>
      </c>
      <c r="S362" s="4" t="s">
        <v>1121</v>
      </c>
      <c r="T362" s="7">
        <v>21353</v>
      </c>
      <c r="U362" s="7">
        <v>22170</v>
      </c>
      <c r="V362" s="7">
        <v>22575</v>
      </c>
      <c r="W362" s="15" t="s">
        <v>933</v>
      </c>
      <c r="X362" s="15" t="s">
        <v>1358</v>
      </c>
      <c r="Y362" s="7" t="s">
        <v>340</v>
      </c>
      <c r="Z362" s="7" t="s">
        <v>340</v>
      </c>
      <c r="AA362" s="7" t="s">
        <v>340</v>
      </c>
      <c r="AB362" s="7" t="s">
        <v>340</v>
      </c>
      <c r="AC362" s="7" t="s">
        <v>340</v>
      </c>
      <c r="AD362" s="7" t="s">
        <v>340</v>
      </c>
      <c r="AE362" s="7">
        <v>22101</v>
      </c>
      <c r="AF362" s="7">
        <v>308</v>
      </c>
      <c r="AG362" s="7" t="s">
        <v>340</v>
      </c>
      <c r="AH362" s="5">
        <v>1</v>
      </c>
      <c r="AI362" s="5">
        <v>1</v>
      </c>
      <c r="AJ362" s="9">
        <f>IF(AND(ISNUMBER(F362),ISNUMBER(G362),ISNUMBER(K362),ISNUMBER(L362)),ACOS(MIN(1,COS(RADIANS(90-F362))*COS(RADIANS(90-K362))+SIN(RADIANS(90-F362))*SIN(RADIANS(90-K362))*COS(RADIANS(G362-L362))))*6371,"N/A")</f>
        <v>532.8926381268742</v>
      </c>
      <c r="AK362" s="10">
        <f>IF(AND(ISNUMBER(F362),ISNUMBER(G362),ISNUMBER(K362),ISNUMBER(L362)),MOD(DEGREES(ATAN2(COS(RADIANS(K362))*SIN(RADIANS(F362))-SIN(RADIANS(K362))*COS(RADIANS(F362))*COS(RADIANS(G362-L362)),SIN(RADIANS(G362-L362))*COS(RADIANS(F362))))+360,360),"N/A")</f>
        <v>21.838474155300389</v>
      </c>
      <c r="AL362" s="10" t="str">
        <f>IF(AND(ISNUMBER(F362),ISNUMBER(G362),ISNUMBER(M362),ISNUMBER(N362)),ACOS(MIN(1,COS(RADIANS(90-F362))*COS(RADIANS(90-M362))+SIN(RADIANS(90-F362))*SIN(RADIANS(90-M362))*COS(RADIANS(G362-N362))))*6371,"N/A")</f>
        <v>N/A</v>
      </c>
      <c r="AM362" s="10" t="str">
        <f>IF(AND(ISNUMBER(F362),ISNUMBER(G362),ISNUMBER(M362),ISNUMBER(N362)),MOD(DEGREES(ATAN2(COS(RADIANS(M362))*SIN(RADIANS(F362))-SIN(RADIANS(M362))*COS(RADIANS(F362))*COS(RADIANS(G362-N362)),SIN(RADIANS(G362-N362))*COS(RADIANS(F362))))+360,360),"N/A")</f>
        <v>N/A</v>
      </c>
      <c r="AN362" s="2"/>
      <c r="AO362" s="2"/>
    </row>
    <row r="363" spans="1:41" x14ac:dyDescent="0.2">
      <c r="A363" s="4" t="s">
        <v>384</v>
      </c>
      <c r="B363" s="4" t="s">
        <v>128</v>
      </c>
      <c r="C363" s="5">
        <v>706</v>
      </c>
      <c r="D363" s="4" t="s">
        <v>70</v>
      </c>
      <c r="E363" s="4" t="s">
        <v>103</v>
      </c>
      <c r="F363" s="15">
        <v>40.83</v>
      </c>
      <c r="G363" s="15">
        <v>27.75</v>
      </c>
      <c r="H363" s="16">
        <v>-566</v>
      </c>
      <c r="I363" s="4" t="s">
        <v>226</v>
      </c>
      <c r="J363" s="4" t="s">
        <v>241</v>
      </c>
      <c r="K363" s="6">
        <v>36.404000000000003</v>
      </c>
      <c r="L363" s="6">
        <v>25.396000000000001</v>
      </c>
      <c r="M363" s="5" t="s">
        <v>340</v>
      </c>
      <c r="N363" s="5" t="s">
        <v>340</v>
      </c>
      <c r="O363" s="4" t="s">
        <v>246</v>
      </c>
      <c r="P363" s="5">
        <v>12</v>
      </c>
      <c r="Q363" s="5">
        <v>9999</v>
      </c>
      <c r="R363" s="4" t="s">
        <v>41</v>
      </c>
      <c r="S363" s="4" t="s">
        <v>1121</v>
      </c>
      <c r="T363" s="7">
        <v>21353</v>
      </c>
      <c r="U363" s="7">
        <v>22170</v>
      </c>
      <c r="V363" s="7">
        <v>22575</v>
      </c>
      <c r="W363" s="15" t="s">
        <v>933</v>
      </c>
      <c r="X363" s="15" t="s">
        <v>1358</v>
      </c>
      <c r="Y363" s="7" t="s">
        <v>340</v>
      </c>
      <c r="Z363" s="7" t="s">
        <v>340</v>
      </c>
      <c r="AA363" s="7" t="s">
        <v>340</v>
      </c>
      <c r="AB363" s="7" t="s">
        <v>340</v>
      </c>
      <c r="AC363" s="7" t="s">
        <v>340</v>
      </c>
      <c r="AD363" s="7" t="s">
        <v>340</v>
      </c>
      <c r="AE363" s="7">
        <v>22101</v>
      </c>
      <c r="AF363" s="7">
        <v>308</v>
      </c>
      <c r="AG363" s="7" t="s">
        <v>340</v>
      </c>
      <c r="AH363" s="5">
        <v>1</v>
      </c>
      <c r="AI363" s="5">
        <v>1</v>
      </c>
      <c r="AJ363" s="9">
        <f>IF(AND(ISNUMBER(F363),ISNUMBER(G363),ISNUMBER(K363),ISNUMBER(L363)),ACOS(MIN(1,COS(RADIANS(90-F363))*COS(RADIANS(90-K363))+SIN(RADIANS(90-F363))*SIN(RADIANS(90-K363))*COS(RADIANS(G363-L363))))*6371,"N/A")</f>
        <v>532.8926381268742</v>
      </c>
      <c r="AK363" s="10">
        <f>IF(AND(ISNUMBER(F363),ISNUMBER(G363),ISNUMBER(K363),ISNUMBER(L363)),MOD(DEGREES(ATAN2(COS(RADIANS(K363))*SIN(RADIANS(F363))-SIN(RADIANS(K363))*COS(RADIANS(F363))*COS(RADIANS(G363-L363)),SIN(RADIANS(G363-L363))*COS(RADIANS(F363))))+360,360),"N/A")</f>
        <v>21.838474155300389</v>
      </c>
      <c r="AL363" s="10" t="str">
        <f>IF(AND(ISNUMBER(F363),ISNUMBER(G363),ISNUMBER(M363),ISNUMBER(N363)),ACOS(MIN(1,COS(RADIANS(90-F363))*COS(RADIANS(90-M363))+SIN(RADIANS(90-F363))*SIN(RADIANS(90-M363))*COS(RADIANS(G363-N363))))*6371,"N/A")</f>
        <v>N/A</v>
      </c>
      <c r="AM363" s="10" t="str">
        <f>IF(AND(ISNUMBER(F363),ISNUMBER(G363),ISNUMBER(M363),ISNUMBER(N363)),MOD(DEGREES(ATAN2(COS(RADIANS(M363))*SIN(RADIANS(F363))-SIN(RADIANS(M363))*COS(RADIANS(F363))*COS(RADIANS(G363-N363)),SIN(RADIANS(G363-N363))*COS(RADIANS(F363))))+360,360),"N/A")</f>
        <v>N/A</v>
      </c>
      <c r="AN363" s="2"/>
      <c r="AO363" s="2"/>
    </row>
    <row r="364" spans="1:41" x14ac:dyDescent="0.2">
      <c r="A364" s="4" t="s">
        <v>385</v>
      </c>
      <c r="B364" s="4" t="s">
        <v>129</v>
      </c>
      <c r="C364" s="5">
        <v>707</v>
      </c>
      <c r="D364" s="4" t="s">
        <v>70</v>
      </c>
      <c r="E364" s="4" t="s">
        <v>103</v>
      </c>
      <c r="F364" s="15">
        <v>40.47</v>
      </c>
      <c r="G364" s="15">
        <v>27.76</v>
      </c>
      <c r="H364" s="16">
        <v>-702</v>
      </c>
      <c r="I364" s="4" t="s">
        <v>226</v>
      </c>
      <c r="J364" s="4" t="s">
        <v>241</v>
      </c>
      <c r="K364" s="6">
        <v>36.404000000000003</v>
      </c>
      <c r="L364" s="6">
        <v>25.396000000000001</v>
      </c>
      <c r="M364" s="5" t="s">
        <v>340</v>
      </c>
      <c r="N364" s="5" t="s">
        <v>340</v>
      </c>
      <c r="O364" s="4" t="s">
        <v>246</v>
      </c>
      <c r="P364" s="5">
        <v>16</v>
      </c>
      <c r="Q364" s="5">
        <v>9999</v>
      </c>
      <c r="R364" s="4" t="s">
        <v>41</v>
      </c>
      <c r="S364" s="4" t="s">
        <v>1121</v>
      </c>
      <c r="T364" s="7">
        <v>21353</v>
      </c>
      <c r="U364" s="7">
        <v>22170</v>
      </c>
      <c r="V364" s="7">
        <v>22575</v>
      </c>
      <c r="W364" s="15" t="s">
        <v>933</v>
      </c>
      <c r="X364" s="15" t="s">
        <v>1358</v>
      </c>
      <c r="Y364" s="7" t="s">
        <v>340</v>
      </c>
      <c r="Z364" s="7" t="s">
        <v>340</v>
      </c>
      <c r="AA364" s="7" t="s">
        <v>340</v>
      </c>
      <c r="AB364" s="7" t="s">
        <v>340</v>
      </c>
      <c r="AC364" s="7" t="s">
        <v>340</v>
      </c>
      <c r="AD364" s="7" t="s">
        <v>340</v>
      </c>
      <c r="AE364" s="7">
        <v>22101</v>
      </c>
      <c r="AF364" s="7">
        <v>308</v>
      </c>
      <c r="AG364" s="7" t="s">
        <v>340</v>
      </c>
      <c r="AH364" s="5">
        <v>1</v>
      </c>
      <c r="AI364" s="5">
        <v>1</v>
      </c>
      <c r="AJ364" s="9">
        <f>IF(AND(ISNUMBER(F364),ISNUMBER(G364),ISNUMBER(K364),ISNUMBER(L364)),ACOS(MIN(1,COS(RADIANS(90-F364))*COS(RADIANS(90-K364))+SIN(RADIANS(90-F364))*SIN(RADIANS(90-K364))*COS(RADIANS(G364-L364))))*6371,"N/A")</f>
        <v>496.74162180092236</v>
      </c>
      <c r="AK364" s="10">
        <f>IF(AND(ISNUMBER(F364),ISNUMBER(G364),ISNUMBER(K364),ISNUMBER(L364)),MOD(DEGREES(ATAN2(COS(RADIANS(K364))*SIN(RADIANS(F364))-SIN(RADIANS(K364))*COS(RADIANS(F364))*COS(RADIANS(G364-L364)),SIN(RADIANS(G364-L364))*COS(RADIANS(F364))))+360,360),"N/A")</f>
        <v>23.757340506931769</v>
      </c>
      <c r="AL364" s="10" t="str">
        <f>IF(AND(ISNUMBER(F364),ISNUMBER(G364),ISNUMBER(M364),ISNUMBER(N364)),ACOS(MIN(1,COS(RADIANS(90-F364))*COS(RADIANS(90-M364))+SIN(RADIANS(90-F364))*SIN(RADIANS(90-M364))*COS(RADIANS(G364-N364))))*6371,"N/A")</f>
        <v>N/A</v>
      </c>
      <c r="AM364" s="10" t="str">
        <f>IF(AND(ISNUMBER(F364),ISNUMBER(G364),ISNUMBER(M364),ISNUMBER(N364)),MOD(DEGREES(ATAN2(COS(RADIANS(M364))*SIN(RADIANS(F364))-SIN(RADIANS(M364))*COS(RADIANS(F364))*COS(RADIANS(G364-N364)),SIN(RADIANS(G364-N364))*COS(RADIANS(F364))))+360,360),"N/A")</f>
        <v>N/A</v>
      </c>
      <c r="AN364" s="2"/>
      <c r="AO364" s="2"/>
    </row>
    <row r="365" spans="1:41" x14ac:dyDescent="0.2">
      <c r="A365" s="4" t="s">
        <v>1187</v>
      </c>
      <c r="B365" s="4" t="s">
        <v>675</v>
      </c>
      <c r="C365" s="5" t="s">
        <v>340</v>
      </c>
      <c r="D365" s="4" t="s">
        <v>70</v>
      </c>
      <c r="E365" s="4" t="s">
        <v>73</v>
      </c>
      <c r="F365" s="15">
        <v>34.071100000000001</v>
      </c>
      <c r="G365" s="15">
        <v>32.7256</v>
      </c>
      <c r="H365" s="16">
        <v>-2554</v>
      </c>
      <c r="I365" s="4" t="s">
        <v>226</v>
      </c>
      <c r="J365" s="4" t="s">
        <v>241</v>
      </c>
      <c r="K365" s="6">
        <v>36.404000000000003</v>
      </c>
      <c r="L365" s="6">
        <v>25.396000000000001</v>
      </c>
      <c r="M365" s="5" t="s">
        <v>340</v>
      </c>
      <c r="N365" s="5" t="s">
        <v>340</v>
      </c>
      <c r="O365" s="4" t="s">
        <v>246</v>
      </c>
      <c r="P365" s="5" t="s">
        <v>340</v>
      </c>
      <c r="Q365" s="5" t="s">
        <v>340</v>
      </c>
      <c r="R365" s="4" t="s">
        <v>673</v>
      </c>
      <c r="S365" s="4" t="s">
        <v>674</v>
      </c>
      <c r="T365" s="7">
        <v>21353</v>
      </c>
      <c r="U365" s="7">
        <v>22170</v>
      </c>
      <c r="V365" s="7">
        <v>22575</v>
      </c>
      <c r="W365" s="15" t="s">
        <v>933</v>
      </c>
      <c r="X365" s="15" t="s">
        <v>1358</v>
      </c>
      <c r="Y365" s="7" t="s">
        <v>340</v>
      </c>
      <c r="Z365" s="7" t="s">
        <v>340</v>
      </c>
      <c r="AA365" s="7" t="s">
        <v>340</v>
      </c>
      <c r="AB365" s="7" t="s">
        <v>340</v>
      </c>
      <c r="AC365" s="7" t="s">
        <v>340</v>
      </c>
      <c r="AD365" s="7" t="s">
        <v>340</v>
      </c>
      <c r="AE365" s="7">
        <v>22101</v>
      </c>
      <c r="AF365" s="7">
        <v>308</v>
      </c>
      <c r="AG365" s="7" t="s">
        <v>340</v>
      </c>
      <c r="AH365" s="5">
        <v>1</v>
      </c>
      <c r="AI365" s="5">
        <v>1</v>
      </c>
      <c r="AJ365" s="9">
        <f>IF(AND(ISNUMBER(F365),ISNUMBER(G365),ISNUMBER(K365),ISNUMBER(L365)),ACOS(MIN(1,COS(RADIANS(90-F365))*COS(RADIANS(90-K365))+SIN(RADIANS(90-F365))*SIN(RADIANS(90-K365))*COS(RADIANS(G365-L365))))*6371,"N/A")</f>
        <v>714.18702531864335</v>
      </c>
      <c r="AK365" s="10">
        <f>IF(AND(ISNUMBER(F365),ISNUMBER(G365),ISNUMBER(K365),ISNUMBER(L365)),MOD(DEGREES(ATAN2(COS(RADIANS(K365))*SIN(RADIANS(F365))-SIN(RADIANS(K365))*COS(RADIANS(F365))*COS(RADIANS(G365-L365)),SIN(RADIANS(G365-L365))*COS(RADIANS(F365))))+360,360),"N/A")</f>
        <v>109.14567607824847</v>
      </c>
      <c r="AL365" s="10" t="str">
        <f>IF(AND(ISNUMBER(F365),ISNUMBER(G365),ISNUMBER(M365),ISNUMBER(N365)),ACOS(MIN(1,COS(RADIANS(90-F365))*COS(RADIANS(90-M365))+SIN(RADIANS(90-F365))*SIN(RADIANS(90-M365))*COS(RADIANS(G365-N365))))*6371,"N/A")</f>
        <v>N/A</v>
      </c>
      <c r="AM365" s="10" t="str">
        <f>IF(AND(ISNUMBER(F365),ISNUMBER(G365),ISNUMBER(M365),ISNUMBER(N365)),MOD(DEGREES(ATAN2(COS(RADIANS(M365))*SIN(RADIANS(F365))-SIN(RADIANS(M365))*COS(RADIANS(F365))*COS(RADIANS(G365-N365)),SIN(RADIANS(G365-N365))*COS(RADIANS(F365))))+360,360),"N/A")</f>
        <v>N/A</v>
      </c>
      <c r="AN365" s="2"/>
      <c r="AO365" s="2"/>
    </row>
    <row r="366" spans="1:41" x14ac:dyDescent="0.2">
      <c r="A366" s="4" t="s">
        <v>1188</v>
      </c>
      <c r="B366" s="4" t="s">
        <v>676</v>
      </c>
      <c r="C366" s="5" t="s">
        <v>340</v>
      </c>
      <c r="D366" s="4" t="s">
        <v>70</v>
      </c>
      <c r="E366" s="4" t="s">
        <v>878</v>
      </c>
      <c r="F366" s="15">
        <v>34.33219444444444</v>
      </c>
      <c r="G366" s="15">
        <v>32.751922222222227</v>
      </c>
      <c r="H366" s="16">
        <v>-1960</v>
      </c>
      <c r="I366" s="4" t="s">
        <v>226</v>
      </c>
      <c r="J366" s="4" t="s">
        <v>241</v>
      </c>
      <c r="K366" s="6">
        <v>36.404000000000003</v>
      </c>
      <c r="L366" s="6">
        <v>25.396000000000001</v>
      </c>
      <c r="M366" s="5" t="s">
        <v>340</v>
      </c>
      <c r="N366" s="5" t="s">
        <v>340</v>
      </c>
      <c r="O366" s="4" t="s">
        <v>246</v>
      </c>
      <c r="P366" s="5" t="s">
        <v>340</v>
      </c>
      <c r="Q366" s="5" t="s">
        <v>340</v>
      </c>
      <c r="R366" s="4" t="s">
        <v>673</v>
      </c>
      <c r="S366" s="4" t="s">
        <v>674</v>
      </c>
      <c r="T366" s="7">
        <v>21353</v>
      </c>
      <c r="U366" s="7">
        <v>22170</v>
      </c>
      <c r="V366" s="7">
        <v>22575</v>
      </c>
      <c r="W366" s="15" t="s">
        <v>933</v>
      </c>
      <c r="X366" s="15" t="s">
        <v>1358</v>
      </c>
      <c r="Y366" s="7" t="s">
        <v>340</v>
      </c>
      <c r="Z366" s="7" t="s">
        <v>340</v>
      </c>
      <c r="AA366" s="7" t="s">
        <v>340</v>
      </c>
      <c r="AB366" s="7" t="s">
        <v>340</v>
      </c>
      <c r="AC366" s="7" t="s">
        <v>340</v>
      </c>
      <c r="AD366" s="7" t="s">
        <v>340</v>
      </c>
      <c r="AE366" s="7">
        <v>22101</v>
      </c>
      <c r="AF366" s="7">
        <v>308</v>
      </c>
      <c r="AG366" s="7" t="s">
        <v>340</v>
      </c>
      <c r="AH366" s="5">
        <v>1</v>
      </c>
      <c r="AI366" s="5">
        <v>1</v>
      </c>
      <c r="AJ366" s="9">
        <f>IF(AND(ISNUMBER(F366),ISNUMBER(G366),ISNUMBER(K366),ISNUMBER(L366)),ACOS(MIN(1,COS(RADIANS(90-F366))*COS(RADIANS(90-K366))+SIN(RADIANS(90-F366))*SIN(RADIANS(90-K366))*COS(RADIANS(G366-L366))))*6371,"N/A")</f>
        <v>705.42309638509607</v>
      </c>
      <c r="AK366" s="10">
        <f>IF(AND(ISNUMBER(F366),ISNUMBER(G366),ISNUMBER(K366),ISNUMBER(L366)),MOD(DEGREES(ATAN2(COS(RADIANS(K366))*SIN(RADIANS(F366))-SIN(RADIANS(K366))*COS(RADIANS(F366))*COS(RADIANS(G366-L366)),SIN(RADIANS(G366-L366))*COS(RADIANS(F366))))+360,360),"N/A")</f>
        <v>106.89813441464611</v>
      </c>
      <c r="AL366" s="10" t="str">
        <f>IF(AND(ISNUMBER(F366),ISNUMBER(G366),ISNUMBER(M366),ISNUMBER(N366)),ACOS(MIN(1,COS(RADIANS(90-F366))*COS(RADIANS(90-M366))+SIN(RADIANS(90-F366))*SIN(RADIANS(90-M366))*COS(RADIANS(G366-N366))))*6371,"N/A")</f>
        <v>N/A</v>
      </c>
      <c r="AM366" s="10" t="str">
        <f>IF(AND(ISNUMBER(F366),ISNUMBER(G366),ISNUMBER(M366),ISNUMBER(N366)),MOD(DEGREES(ATAN2(COS(RADIANS(M366))*SIN(RADIANS(F366))-SIN(RADIANS(M366))*COS(RADIANS(F366))*COS(RADIANS(G366-N366)),SIN(RADIANS(G366-N366))*COS(RADIANS(F366))))+360,360),"N/A")</f>
        <v>N/A</v>
      </c>
      <c r="AN366" s="2"/>
      <c r="AO366" s="2"/>
    </row>
    <row r="367" spans="1:41" x14ac:dyDescent="0.2">
      <c r="A367" s="4" t="s">
        <v>281</v>
      </c>
      <c r="B367" s="4" t="s">
        <v>47</v>
      </c>
      <c r="C367" s="5">
        <v>600</v>
      </c>
      <c r="D367" s="4" t="s">
        <v>32</v>
      </c>
      <c r="E367" s="4" t="s">
        <v>48</v>
      </c>
      <c r="F367" s="15">
        <v>40.931100000000001</v>
      </c>
      <c r="G367" s="15">
        <v>15.605399999999999</v>
      </c>
      <c r="H367" s="16">
        <v>656</v>
      </c>
      <c r="I367" s="4" t="s">
        <v>893</v>
      </c>
      <c r="J367" s="4" t="s">
        <v>15</v>
      </c>
      <c r="K367" s="6">
        <v>40.826999999999998</v>
      </c>
      <c r="L367" s="6">
        <v>14.138999999999999</v>
      </c>
      <c r="M367" s="5" t="s">
        <v>340</v>
      </c>
      <c r="N367" s="5" t="s">
        <v>340</v>
      </c>
      <c r="O367" s="4" t="s">
        <v>199</v>
      </c>
      <c r="P367" s="5" t="s">
        <v>304</v>
      </c>
      <c r="Q367" s="5">
        <v>9999</v>
      </c>
      <c r="R367" s="4" t="s">
        <v>184</v>
      </c>
      <c r="S367" s="4" t="s">
        <v>1121</v>
      </c>
      <c r="T367" s="7">
        <v>4483</v>
      </c>
      <c r="U367" s="7">
        <v>4540</v>
      </c>
      <c r="V367" s="7">
        <v>4627</v>
      </c>
      <c r="W367" s="15" t="s">
        <v>928</v>
      </c>
      <c r="X367" s="21" t="s">
        <v>1357</v>
      </c>
      <c r="Y367" s="7" t="s">
        <v>340</v>
      </c>
      <c r="Z367" s="7" t="s">
        <v>340</v>
      </c>
      <c r="AA367" s="7" t="s">
        <v>340</v>
      </c>
      <c r="AB367" s="7" t="s">
        <v>340</v>
      </c>
      <c r="AC367" s="7">
        <v>5390</v>
      </c>
      <c r="AD367" s="7">
        <v>270</v>
      </c>
      <c r="AE367" s="7">
        <v>4546</v>
      </c>
      <c r="AF367" s="7">
        <v>36</v>
      </c>
      <c r="AG367" s="7" t="s">
        <v>340</v>
      </c>
      <c r="AH367" s="5">
        <v>1</v>
      </c>
      <c r="AI367" s="5">
        <v>1</v>
      </c>
      <c r="AJ367" s="9">
        <f>IF(AND(ISNUMBER(F367),ISNUMBER(G367),ISNUMBER(K367),ISNUMBER(L367)),ACOS(MIN(1,COS(RADIANS(90-F367))*COS(RADIANS(90-K367))+SIN(RADIANS(90-F367))*SIN(RADIANS(90-K367))*COS(RADIANS(G367-L367))))*6371,"N/A")</f>
        <v>123.82638241899673</v>
      </c>
      <c r="AK367" s="10">
        <f>IF(AND(ISNUMBER(F367),ISNUMBER(G367),ISNUMBER(K367),ISNUMBER(L367)),MOD(DEGREES(ATAN2(COS(RADIANS(K367))*SIN(RADIANS(F367))-SIN(RADIANS(K367))*COS(RADIANS(F367))*COS(RADIANS(G367-L367)),SIN(RADIANS(G367-L367))*COS(RADIANS(F367))))+360,360),"N/A")</f>
        <v>84.156599944321783</v>
      </c>
      <c r="AL367" s="10" t="str">
        <f>IF(AND(ISNUMBER(F367),ISNUMBER(G367),ISNUMBER(M367),ISNUMBER(N367)),ACOS(MIN(1,COS(RADIANS(90-F367))*COS(RADIANS(90-M367))+SIN(RADIANS(90-F367))*SIN(RADIANS(90-M367))*COS(RADIANS(G367-N367))))*6371,"N/A")</f>
        <v>N/A</v>
      </c>
      <c r="AM367" s="10" t="str">
        <f>IF(AND(ISNUMBER(F367),ISNUMBER(G367),ISNUMBER(M367),ISNUMBER(N367)),MOD(DEGREES(ATAN2(COS(RADIANS(M367))*SIN(RADIANS(F367))-SIN(RADIANS(M367))*COS(RADIANS(F367))*COS(RADIANS(G367-N367)),SIN(RADIANS(G367-N367))*COS(RADIANS(F367))))+360,360),"N/A")</f>
        <v>N/A</v>
      </c>
      <c r="AN367" s="2"/>
      <c r="AO367" s="2"/>
    </row>
    <row r="368" spans="1:41" x14ac:dyDescent="0.2">
      <c r="A368" s="4" t="s">
        <v>314</v>
      </c>
      <c r="B368" s="4" t="s">
        <v>47</v>
      </c>
      <c r="C368" s="5">
        <v>600</v>
      </c>
      <c r="D368" s="4" t="s">
        <v>32</v>
      </c>
      <c r="E368" s="4" t="s">
        <v>48</v>
      </c>
      <c r="F368" s="15">
        <v>40.931100000000001</v>
      </c>
      <c r="G368" s="15">
        <v>15.605399999999999</v>
      </c>
      <c r="H368" s="16">
        <v>656</v>
      </c>
      <c r="I368" s="4" t="s">
        <v>893</v>
      </c>
      <c r="J368" s="4" t="s">
        <v>15</v>
      </c>
      <c r="K368" s="6">
        <v>40.826999999999998</v>
      </c>
      <c r="L368" s="6">
        <v>14.138999999999999</v>
      </c>
      <c r="M368" s="5" t="s">
        <v>340</v>
      </c>
      <c r="N368" s="5" t="s">
        <v>340</v>
      </c>
      <c r="O368" s="4" t="s">
        <v>315</v>
      </c>
      <c r="P368" s="5" t="s">
        <v>133</v>
      </c>
      <c r="Q368" s="5">
        <v>9999</v>
      </c>
      <c r="R368" s="4" t="s">
        <v>184</v>
      </c>
      <c r="S368" s="4" t="s">
        <v>1121</v>
      </c>
      <c r="T368" s="7">
        <v>5056</v>
      </c>
      <c r="U368" s="7">
        <v>5234</v>
      </c>
      <c r="V368" s="7">
        <v>5322</v>
      </c>
      <c r="W368" s="15" t="s">
        <v>928</v>
      </c>
      <c r="X368" s="15" t="s">
        <v>1357</v>
      </c>
      <c r="Y368" s="7" t="s">
        <v>340</v>
      </c>
      <c r="Z368" s="7" t="s">
        <v>340</v>
      </c>
      <c r="AA368" s="7" t="s">
        <v>340</v>
      </c>
      <c r="AB368" s="7" t="s">
        <v>340</v>
      </c>
      <c r="AC368" s="7">
        <v>5640</v>
      </c>
      <c r="AD368" s="7">
        <v>280</v>
      </c>
      <c r="AE368" s="7">
        <v>5222</v>
      </c>
      <c r="AF368" s="7">
        <v>81</v>
      </c>
      <c r="AG368" s="7" t="s">
        <v>340</v>
      </c>
      <c r="AH368" s="5">
        <v>1</v>
      </c>
      <c r="AI368" s="5">
        <v>1</v>
      </c>
      <c r="AJ368" s="9">
        <f>IF(AND(ISNUMBER(F368),ISNUMBER(G368),ISNUMBER(K368),ISNUMBER(L368)),ACOS(MIN(1,COS(RADIANS(90-F368))*COS(RADIANS(90-K368))+SIN(RADIANS(90-F368))*SIN(RADIANS(90-K368))*COS(RADIANS(G368-L368))))*6371,"N/A")</f>
        <v>123.82638241899673</v>
      </c>
      <c r="AK368" s="10">
        <f>IF(AND(ISNUMBER(F368),ISNUMBER(G368),ISNUMBER(K368),ISNUMBER(L368)),MOD(DEGREES(ATAN2(COS(RADIANS(K368))*SIN(RADIANS(F368))-SIN(RADIANS(K368))*COS(RADIANS(F368))*COS(RADIANS(G368-L368)),SIN(RADIANS(G368-L368))*COS(RADIANS(F368))))+360,360),"N/A")</f>
        <v>84.156599944321783</v>
      </c>
      <c r="AL368" s="10" t="str">
        <f>IF(AND(ISNUMBER(F368),ISNUMBER(G368),ISNUMBER(M368),ISNUMBER(N368)),ACOS(MIN(1,COS(RADIANS(90-F368))*COS(RADIANS(90-M368))+SIN(RADIANS(90-F368))*SIN(RADIANS(90-M368))*COS(RADIANS(G368-N368))))*6371,"N/A")</f>
        <v>N/A</v>
      </c>
      <c r="AM368" s="10" t="str">
        <f>IF(AND(ISNUMBER(F368),ISNUMBER(G368),ISNUMBER(M368),ISNUMBER(N368)),MOD(DEGREES(ATAN2(COS(RADIANS(M368))*SIN(RADIANS(F368))-SIN(RADIANS(M368))*COS(RADIANS(F368))*COS(RADIANS(G368-N368)),SIN(RADIANS(G368-N368))*COS(RADIANS(F368))))+360,360),"N/A")</f>
        <v>N/A</v>
      </c>
      <c r="AN368" s="2"/>
      <c r="AO368" s="2"/>
    </row>
    <row r="369" spans="1:41" x14ac:dyDescent="0.2">
      <c r="A369" s="4" t="s">
        <v>280</v>
      </c>
      <c r="B369" s="4" t="s">
        <v>47</v>
      </c>
      <c r="C369" s="5">
        <v>600</v>
      </c>
      <c r="D369" s="4" t="s">
        <v>32</v>
      </c>
      <c r="E369" s="4" t="s">
        <v>48</v>
      </c>
      <c r="F369" s="15">
        <v>40.931100000000001</v>
      </c>
      <c r="G369" s="15">
        <v>15.605399999999999</v>
      </c>
      <c r="H369" s="16">
        <v>656</v>
      </c>
      <c r="I369" s="4" t="s">
        <v>893</v>
      </c>
      <c r="J369" s="4" t="s">
        <v>15</v>
      </c>
      <c r="K369" s="6">
        <v>40.826999999999998</v>
      </c>
      <c r="L369" s="6">
        <v>14.138999999999999</v>
      </c>
      <c r="M369" s="5" t="s">
        <v>340</v>
      </c>
      <c r="N369" s="5" t="s">
        <v>340</v>
      </c>
      <c r="O369" s="4" t="s">
        <v>315</v>
      </c>
      <c r="P369" s="5" t="s">
        <v>166</v>
      </c>
      <c r="Q369" s="5">
        <v>9999</v>
      </c>
      <c r="R369" s="4" t="s">
        <v>184</v>
      </c>
      <c r="S369" s="4" t="s">
        <v>1121</v>
      </c>
      <c r="T369" s="7">
        <v>5056</v>
      </c>
      <c r="U369" s="7">
        <v>5234</v>
      </c>
      <c r="V369" s="7">
        <v>5322</v>
      </c>
      <c r="W369" s="15" t="s">
        <v>928</v>
      </c>
      <c r="X369" s="15" t="s">
        <v>1357</v>
      </c>
      <c r="Y369" s="7" t="s">
        <v>340</v>
      </c>
      <c r="Z369" s="7" t="s">
        <v>340</v>
      </c>
      <c r="AA369" s="7" t="s">
        <v>340</v>
      </c>
      <c r="AB369" s="7" t="s">
        <v>340</v>
      </c>
      <c r="AC369" s="7">
        <v>5680</v>
      </c>
      <c r="AD369" s="7">
        <v>280</v>
      </c>
      <c r="AE369" s="7">
        <v>5222</v>
      </c>
      <c r="AF369" s="7">
        <v>81</v>
      </c>
      <c r="AG369" s="7" t="s">
        <v>340</v>
      </c>
      <c r="AH369" s="5">
        <v>1</v>
      </c>
      <c r="AI369" s="5">
        <v>1</v>
      </c>
      <c r="AJ369" s="9">
        <f>IF(AND(ISNUMBER(F369),ISNUMBER(G369),ISNUMBER(K369),ISNUMBER(L369)),ACOS(MIN(1,COS(RADIANS(90-F369))*COS(RADIANS(90-K369))+SIN(RADIANS(90-F369))*SIN(RADIANS(90-K369))*COS(RADIANS(G369-L369))))*6371,"N/A")</f>
        <v>123.82638241899673</v>
      </c>
      <c r="AK369" s="10">
        <f>IF(AND(ISNUMBER(F369),ISNUMBER(G369),ISNUMBER(K369),ISNUMBER(L369)),MOD(DEGREES(ATAN2(COS(RADIANS(K369))*SIN(RADIANS(F369))-SIN(RADIANS(K369))*COS(RADIANS(F369))*COS(RADIANS(G369-L369)),SIN(RADIANS(G369-L369))*COS(RADIANS(F369))))+360,360),"N/A")</f>
        <v>84.156599944321783</v>
      </c>
      <c r="AL369" s="10" t="str">
        <f>IF(AND(ISNUMBER(F369),ISNUMBER(G369),ISNUMBER(M369),ISNUMBER(N369)),ACOS(MIN(1,COS(RADIANS(90-F369))*COS(RADIANS(90-M369))+SIN(RADIANS(90-F369))*SIN(RADIANS(90-M369))*COS(RADIANS(G369-N369))))*6371,"N/A")</f>
        <v>N/A</v>
      </c>
      <c r="AM369" s="10" t="str">
        <f>IF(AND(ISNUMBER(F369),ISNUMBER(G369),ISNUMBER(M369),ISNUMBER(N369)),MOD(DEGREES(ATAN2(COS(RADIANS(M369))*SIN(RADIANS(F369))-SIN(RADIANS(M369))*COS(RADIANS(F369))*COS(RADIANS(G369-N369)),SIN(RADIANS(G369-N369))*COS(RADIANS(F369))))+360,360),"N/A")</f>
        <v>N/A</v>
      </c>
      <c r="AN369" s="2"/>
      <c r="AO369" s="2"/>
    </row>
    <row r="370" spans="1:41" x14ac:dyDescent="0.2">
      <c r="A370" s="4" t="s">
        <v>321</v>
      </c>
      <c r="B370" s="4" t="s">
        <v>47</v>
      </c>
      <c r="C370" s="5">
        <v>600</v>
      </c>
      <c r="D370" s="4" t="s">
        <v>32</v>
      </c>
      <c r="E370" s="4" t="s">
        <v>48</v>
      </c>
      <c r="F370" s="15">
        <v>40.931100000000001</v>
      </c>
      <c r="G370" s="15">
        <v>15.605399999999999</v>
      </c>
      <c r="H370" s="16">
        <v>656</v>
      </c>
      <c r="I370" s="4" t="s">
        <v>893</v>
      </c>
      <c r="J370" s="4" t="s">
        <v>15</v>
      </c>
      <c r="K370" s="6">
        <v>40.826999999999998</v>
      </c>
      <c r="L370" s="6">
        <v>14.138999999999999</v>
      </c>
      <c r="M370" s="5" t="s">
        <v>340</v>
      </c>
      <c r="N370" s="5" t="s">
        <v>340</v>
      </c>
      <c r="O370" s="4" t="s">
        <v>889</v>
      </c>
      <c r="P370" s="5" t="s">
        <v>322</v>
      </c>
      <c r="Q370" s="5">
        <v>9999</v>
      </c>
      <c r="R370" s="4" t="s">
        <v>184</v>
      </c>
      <c r="S370" s="4" t="s">
        <v>1121</v>
      </c>
      <c r="T370" s="12">
        <v>9531</v>
      </c>
      <c r="U370" s="12">
        <v>9760</v>
      </c>
      <c r="V370" s="12">
        <v>10656</v>
      </c>
      <c r="W370" s="21" t="s">
        <v>1337</v>
      </c>
      <c r="X370" s="15" t="s">
        <v>1361</v>
      </c>
      <c r="Y370" s="7">
        <v>9580</v>
      </c>
      <c r="Z370" s="7">
        <v>100</v>
      </c>
      <c r="AA370" s="7" t="s">
        <v>340</v>
      </c>
      <c r="AB370" s="7" t="s">
        <v>340</v>
      </c>
      <c r="AC370" s="7">
        <v>11210</v>
      </c>
      <c r="AD370" s="7">
        <v>560</v>
      </c>
      <c r="AE370" s="7">
        <v>9908</v>
      </c>
      <c r="AF370" s="7">
        <v>345</v>
      </c>
      <c r="AG370" s="7" t="s">
        <v>340</v>
      </c>
      <c r="AH370" s="5">
        <v>1</v>
      </c>
      <c r="AI370" s="5">
        <v>1</v>
      </c>
      <c r="AJ370" s="9">
        <f>IF(AND(ISNUMBER(F370),ISNUMBER(G370),ISNUMBER(K370),ISNUMBER(L370)),ACOS(MIN(1,COS(RADIANS(90-F370))*COS(RADIANS(90-K370))+SIN(RADIANS(90-F370))*SIN(RADIANS(90-K370))*COS(RADIANS(G370-L370))))*6371,"N/A")</f>
        <v>123.82638241899673</v>
      </c>
      <c r="AK370" s="10">
        <f>IF(AND(ISNUMBER(F370),ISNUMBER(G370),ISNUMBER(K370),ISNUMBER(L370)),MOD(DEGREES(ATAN2(COS(RADIANS(K370))*SIN(RADIANS(F370))-SIN(RADIANS(K370))*COS(RADIANS(F370))*COS(RADIANS(G370-L370)),SIN(RADIANS(G370-L370))*COS(RADIANS(F370))))+360,360),"N/A")</f>
        <v>84.156599944321783</v>
      </c>
      <c r="AL370" s="10" t="str">
        <f>IF(AND(ISNUMBER(F370),ISNUMBER(G370),ISNUMBER(M370),ISNUMBER(N370)),ACOS(MIN(1,COS(RADIANS(90-F370))*COS(RADIANS(90-M370))+SIN(RADIANS(90-F370))*SIN(RADIANS(90-M370))*COS(RADIANS(G370-N370))))*6371,"N/A")</f>
        <v>N/A</v>
      </c>
      <c r="AM370" s="10" t="str">
        <f>IF(AND(ISNUMBER(F370),ISNUMBER(G370),ISNUMBER(M370),ISNUMBER(N370)),MOD(DEGREES(ATAN2(COS(RADIANS(M370))*SIN(RADIANS(F370))-SIN(RADIANS(M370))*COS(RADIANS(F370))*COS(RADIANS(G370-N370)),SIN(RADIANS(G370-N370))*COS(RADIANS(F370))))+360,360),"N/A")</f>
        <v>N/A</v>
      </c>
      <c r="AN370" s="2"/>
      <c r="AO370" s="2"/>
    </row>
    <row r="371" spans="1:41" x14ac:dyDescent="0.2">
      <c r="A371" s="4" t="s">
        <v>327</v>
      </c>
      <c r="B371" s="4" t="s">
        <v>47</v>
      </c>
      <c r="C371" s="5">
        <v>600</v>
      </c>
      <c r="D371" s="4" t="s">
        <v>32</v>
      </c>
      <c r="E371" s="4" t="s">
        <v>48</v>
      </c>
      <c r="F371" s="15">
        <v>40.931100000000001</v>
      </c>
      <c r="G371" s="15">
        <v>15.605399999999999</v>
      </c>
      <c r="H371" s="16">
        <v>656</v>
      </c>
      <c r="I371" s="4" t="s">
        <v>893</v>
      </c>
      <c r="J371" s="4" t="s">
        <v>15</v>
      </c>
      <c r="K371" s="6">
        <v>40.826999999999998</v>
      </c>
      <c r="L371" s="6">
        <v>14.138999999999999</v>
      </c>
      <c r="M371" s="5" t="s">
        <v>340</v>
      </c>
      <c r="N371" s="5" t="s">
        <v>340</v>
      </c>
      <c r="O371" s="4" t="s">
        <v>328</v>
      </c>
      <c r="P371" s="5" t="s">
        <v>300</v>
      </c>
      <c r="Q371" s="5">
        <v>9999</v>
      </c>
      <c r="R371" s="4" t="s">
        <v>184</v>
      </c>
      <c r="S371" s="4" t="s">
        <v>890</v>
      </c>
      <c r="T371" s="12">
        <v>12062</v>
      </c>
      <c r="U371" s="12">
        <v>12323</v>
      </c>
      <c r="V371" s="12">
        <v>12467</v>
      </c>
      <c r="W371" s="15" t="s">
        <v>928</v>
      </c>
      <c r="X371" s="21" t="s">
        <v>1357</v>
      </c>
      <c r="Y371" s="7" t="s">
        <v>340</v>
      </c>
      <c r="Z371" s="7" t="s">
        <v>340</v>
      </c>
      <c r="AA371" s="7" t="s">
        <v>340</v>
      </c>
      <c r="AB371" s="5" t="s">
        <v>340</v>
      </c>
      <c r="AC371" s="7">
        <v>12590</v>
      </c>
      <c r="AD371" s="7">
        <v>630</v>
      </c>
      <c r="AE371" s="7">
        <v>12323</v>
      </c>
      <c r="AF371" s="7">
        <v>112</v>
      </c>
      <c r="AG371" s="7" t="s">
        <v>340</v>
      </c>
      <c r="AH371" s="5">
        <v>1</v>
      </c>
      <c r="AI371" s="5">
        <v>1</v>
      </c>
      <c r="AJ371" s="9">
        <f>IF(AND(ISNUMBER(F371),ISNUMBER(G371),ISNUMBER(K371),ISNUMBER(L371)),ACOS(MIN(1,COS(RADIANS(90-F371))*COS(RADIANS(90-K371))+SIN(RADIANS(90-F371))*SIN(RADIANS(90-K371))*COS(RADIANS(G371-L371))))*6371,"N/A")</f>
        <v>123.82638241899673</v>
      </c>
      <c r="AK371" s="10">
        <f>IF(AND(ISNUMBER(F371),ISNUMBER(G371),ISNUMBER(K371),ISNUMBER(L371)),MOD(DEGREES(ATAN2(COS(RADIANS(K371))*SIN(RADIANS(F371))-SIN(RADIANS(K371))*COS(RADIANS(F371))*COS(RADIANS(G371-L371)),SIN(RADIANS(G371-L371))*COS(RADIANS(F371))))+360,360),"N/A")</f>
        <v>84.156599944321783</v>
      </c>
      <c r="AL371" s="10" t="str">
        <f>IF(AND(ISNUMBER(F371),ISNUMBER(G371),ISNUMBER(M371),ISNUMBER(N371)),ACOS(MIN(1,COS(RADIANS(90-F371))*COS(RADIANS(90-M371))+SIN(RADIANS(90-F371))*SIN(RADIANS(90-M371))*COS(RADIANS(G371-N371))))*6371,"N/A")</f>
        <v>N/A</v>
      </c>
      <c r="AM371" s="10" t="str">
        <f>IF(AND(ISNUMBER(F371),ISNUMBER(G371),ISNUMBER(M371),ISNUMBER(N371)),MOD(DEGREES(ATAN2(COS(RADIANS(M371))*SIN(RADIANS(F371))-SIN(RADIANS(M371))*COS(RADIANS(F371))*COS(RADIANS(G371-N371)),SIN(RADIANS(G371-N371))*COS(RADIANS(F371))))+360,360),"N/A")</f>
        <v>N/A</v>
      </c>
      <c r="AN371" s="2"/>
      <c r="AO371" s="2"/>
    </row>
    <row r="372" spans="1:41" x14ac:dyDescent="0.2">
      <c r="A372" s="4" t="s">
        <v>270</v>
      </c>
      <c r="B372" s="4" t="s">
        <v>47</v>
      </c>
      <c r="C372" s="5">
        <v>600</v>
      </c>
      <c r="D372" s="4" t="s">
        <v>32</v>
      </c>
      <c r="E372" s="4" t="s">
        <v>48</v>
      </c>
      <c r="F372" s="15">
        <v>40.931100000000001</v>
      </c>
      <c r="G372" s="15">
        <v>15.605399999999999</v>
      </c>
      <c r="H372" s="16">
        <v>656</v>
      </c>
      <c r="I372" s="4" t="s">
        <v>893</v>
      </c>
      <c r="J372" s="4" t="s">
        <v>15</v>
      </c>
      <c r="K372" s="6">
        <v>40.826999999999998</v>
      </c>
      <c r="L372" s="6">
        <v>14.138999999999999</v>
      </c>
      <c r="M372" s="5" t="s">
        <v>340</v>
      </c>
      <c r="N372" s="5" t="s">
        <v>340</v>
      </c>
      <c r="O372" s="4" t="s">
        <v>891</v>
      </c>
      <c r="P372" s="5" t="s">
        <v>155</v>
      </c>
      <c r="Q372" s="5">
        <v>9999</v>
      </c>
      <c r="R372" s="4" t="s">
        <v>184</v>
      </c>
      <c r="S372" s="4" t="s">
        <v>1121</v>
      </c>
      <c r="T372" s="12">
        <v>12752</v>
      </c>
      <c r="U372" s="12">
        <v>12925</v>
      </c>
      <c r="V372" s="7">
        <v>13098</v>
      </c>
      <c r="W372" s="21" t="s">
        <v>1116</v>
      </c>
      <c r="X372" s="21" t="s">
        <v>1387</v>
      </c>
      <c r="Y372" s="7" t="s">
        <v>340</v>
      </c>
      <c r="Z372" s="7" t="s">
        <v>340</v>
      </c>
      <c r="AA372" s="7" t="s">
        <v>340</v>
      </c>
      <c r="AB372" s="5" t="s">
        <v>340</v>
      </c>
      <c r="AC372" s="7">
        <v>12640</v>
      </c>
      <c r="AD372" s="7">
        <v>630</v>
      </c>
      <c r="AE372" s="7">
        <v>12925</v>
      </c>
      <c r="AF372" s="7">
        <v>173</v>
      </c>
      <c r="AG372" s="7" t="s">
        <v>340</v>
      </c>
      <c r="AH372" s="5">
        <v>1</v>
      </c>
      <c r="AI372" s="5">
        <v>1</v>
      </c>
      <c r="AJ372" s="9">
        <f>IF(AND(ISNUMBER(F372),ISNUMBER(G372),ISNUMBER(K372),ISNUMBER(L372)),ACOS(MIN(1,COS(RADIANS(90-F372))*COS(RADIANS(90-K372))+SIN(RADIANS(90-F372))*SIN(RADIANS(90-K372))*COS(RADIANS(G372-L372))))*6371,"N/A")</f>
        <v>123.82638241899673</v>
      </c>
      <c r="AK372" s="10">
        <f>IF(AND(ISNUMBER(F372),ISNUMBER(G372),ISNUMBER(K372),ISNUMBER(L372)),MOD(DEGREES(ATAN2(COS(RADIANS(K372))*SIN(RADIANS(F372))-SIN(RADIANS(K372))*COS(RADIANS(F372))*COS(RADIANS(G372-L372)),SIN(RADIANS(G372-L372))*COS(RADIANS(F372))))+360,360),"N/A")</f>
        <v>84.156599944321783</v>
      </c>
      <c r="AL372" s="10" t="str">
        <f>IF(AND(ISNUMBER(F372),ISNUMBER(G372),ISNUMBER(M372),ISNUMBER(N372)),ACOS(MIN(1,COS(RADIANS(90-F372))*COS(RADIANS(90-M372))+SIN(RADIANS(90-F372))*SIN(RADIANS(90-M372))*COS(RADIANS(G372-N372))))*6371,"N/A")</f>
        <v>N/A</v>
      </c>
      <c r="AM372" s="10" t="str">
        <f>IF(AND(ISNUMBER(F372),ISNUMBER(G372),ISNUMBER(M372),ISNUMBER(N372)),MOD(DEGREES(ATAN2(COS(RADIANS(M372))*SIN(RADIANS(F372))-SIN(RADIANS(M372))*COS(RADIANS(F372))*COS(RADIANS(G372-N372)),SIN(RADIANS(G372-N372))*COS(RADIANS(F372))))+360,360),"N/A")</f>
        <v>N/A</v>
      </c>
      <c r="AN372" s="2"/>
      <c r="AO372" s="2"/>
    </row>
    <row r="373" spans="1:41" x14ac:dyDescent="0.2">
      <c r="A373" s="4" t="s">
        <v>269</v>
      </c>
      <c r="B373" s="4" t="s">
        <v>47</v>
      </c>
      <c r="C373" s="5">
        <v>600</v>
      </c>
      <c r="D373" s="4" t="s">
        <v>32</v>
      </c>
      <c r="E373" s="4" t="s">
        <v>48</v>
      </c>
      <c r="F373" s="15">
        <v>40.931100000000001</v>
      </c>
      <c r="G373" s="15">
        <v>15.605399999999999</v>
      </c>
      <c r="H373" s="16">
        <v>656</v>
      </c>
      <c r="I373" s="4" t="s">
        <v>893</v>
      </c>
      <c r="J373" s="4" t="s">
        <v>15</v>
      </c>
      <c r="K373" s="6">
        <v>40.826999999999998</v>
      </c>
      <c r="L373" s="6">
        <v>14.138999999999999</v>
      </c>
      <c r="M373" s="5" t="s">
        <v>340</v>
      </c>
      <c r="N373" s="5" t="s">
        <v>340</v>
      </c>
      <c r="O373" s="4" t="s">
        <v>930</v>
      </c>
      <c r="P373" s="5" t="s">
        <v>310</v>
      </c>
      <c r="Q373" s="5">
        <v>9999</v>
      </c>
      <c r="R373" s="4" t="s">
        <v>184</v>
      </c>
      <c r="S373" s="4" t="s">
        <v>1143</v>
      </c>
      <c r="T373" s="12">
        <v>12130</v>
      </c>
      <c r="U373" s="7">
        <v>12770</v>
      </c>
      <c r="V373" s="12">
        <v>13410</v>
      </c>
      <c r="W373" s="15" t="s">
        <v>931</v>
      </c>
      <c r="X373" s="21" t="s">
        <v>893</v>
      </c>
      <c r="Y373" s="7" t="s">
        <v>340</v>
      </c>
      <c r="Z373" s="7" t="s">
        <v>340</v>
      </c>
      <c r="AA373" s="7" t="s">
        <v>340</v>
      </c>
      <c r="AB373" s="5" t="s">
        <v>340</v>
      </c>
      <c r="AC373" s="7">
        <v>12770</v>
      </c>
      <c r="AD373" s="7">
        <v>640</v>
      </c>
      <c r="AE373" s="7" t="s">
        <v>340</v>
      </c>
      <c r="AF373" s="7" t="s">
        <v>340</v>
      </c>
      <c r="AG373" s="7" t="s">
        <v>340</v>
      </c>
      <c r="AH373" s="5">
        <v>1</v>
      </c>
      <c r="AI373" s="5">
        <v>1</v>
      </c>
      <c r="AJ373" s="9">
        <f>IF(AND(ISNUMBER(F373),ISNUMBER(G373),ISNUMBER(K373),ISNUMBER(L373)),ACOS(MIN(1,COS(RADIANS(90-F373))*COS(RADIANS(90-K373))+SIN(RADIANS(90-F373))*SIN(RADIANS(90-K373))*COS(RADIANS(G373-L373))))*6371,"N/A")</f>
        <v>123.82638241899673</v>
      </c>
      <c r="AK373" s="10">
        <f>IF(AND(ISNUMBER(F373),ISNUMBER(G373),ISNUMBER(K373),ISNUMBER(L373)),MOD(DEGREES(ATAN2(COS(RADIANS(K373))*SIN(RADIANS(F373))-SIN(RADIANS(K373))*COS(RADIANS(F373))*COS(RADIANS(G373-L373)),SIN(RADIANS(G373-L373))*COS(RADIANS(F373))))+360,360),"N/A")</f>
        <v>84.156599944321783</v>
      </c>
      <c r="AL373" s="10" t="str">
        <f>IF(AND(ISNUMBER(F373),ISNUMBER(G373),ISNUMBER(M373),ISNUMBER(N373)),ACOS(MIN(1,COS(RADIANS(90-F373))*COS(RADIANS(90-M373))+SIN(RADIANS(90-F373))*SIN(RADIANS(90-M373))*COS(RADIANS(G373-N373))))*6371,"N/A")</f>
        <v>N/A</v>
      </c>
      <c r="AM373" s="10" t="str">
        <f>IF(AND(ISNUMBER(F373),ISNUMBER(G373),ISNUMBER(M373),ISNUMBER(N373)),MOD(DEGREES(ATAN2(COS(RADIANS(M373))*SIN(RADIANS(F373))-SIN(RADIANS(M373))*COS(RADIANS(F373))*COS(RADIANS(G373-N373)),SIN(RADIANS(G373-N373))*COS(RADIANS(F373))))+360,360),"N/A")</f>
        <v>N/A</v>
      </c>
      <c r="AN373" s="2"/>
      <c r="AO373" s="2"/>
    </row>
    <row r="374" spans="1:41" x14ac:dyDescent="0.2">
      <c r="A374" s="4" t="s">
        <v>260</v>
      </c>
      <c r="B374" s="4" t="s">
        <v>47</v>
      </c>
      <c r="C374" s="5">
        <v>600</v>
      </c>
      <c r="D374" s="4" t="s">
        <v>32</v>
      </c>
      <c r="E374" s="4" t="s">
        <v>48</v>
      </c>
      <c r="F374" s="15">
        <v>40.931100000000001</v>
      </c>
      <c r="G374" s="15">
        <v>15.605399999999999</v>
      </c>
      <c r="H374" s="16">
        <v>656</v>
      </c>
      <c r="I374" s="4" t="s">
        <v>893</v>
      </c>
      <c r="J374" s="4" t="s">
        <v>15</v>
      </c>
      <c r="K374" s="6">
        <v>40.826999999999998</v>
      </c>
      <c r="L374" s="6">
        <v>14.138999999999999</v>
      </c>
      <c r="M374" s="5" t="s">
        <v>340</v>
      </c>
      <c r="N374" s="5" t="s">
        <v>340</v>
      </c>
      <c r="O374" s="4" t="s">
        <v>949</v>
      </c>
      <c r="P374" s="5" t="s">
        <v>162</v>
      </c>
      <c r="Q374" s="5">
        <v>9999</v>
      </c>
      <c r="R374" s="4" t="s">
        <v>184</v>
      </c>
      <c r="S374" s="4" t="s">
        <v>1121</v>
      </c>
      <c r="T374" s="7">
        <v>14670</v>
      </c>
      <c r="U374" s="7">
        <v>14967</v>
      </c>
      <c r="V374" s="7">
        <v>15227</v>
      </c>
      <c r="W374" s="15" t="s">
        <v>1354</v>
      </c>
      <c r="X374" s="21" t="s">
        <v>1050</v>
      </c>
      <c r="Y374" s="7">
        <v>12870</v>
      </c>
      <c r="Z374" s="7">
        <v>100</v>
      </c>
      <c r="AA374" s="7" t="s">
        <v>340</v>
      </c>
      <c r="AB374" s="5" t="s">
        <v>340</v>
      </c>
      <c r="AC374" s="7">
        <v>18500</v>
      </c>
      <c r="AD374" s="7">
        <v>920</v>
      </c>
      <c r="AE374" s="7">
        <v>14967</v>
      </c>
      <c r="AF374" s="7" t="s">
        <v>950</v>
      </c>
      <c r="AG374" s="7" t="s">
        <v>340</v>
      </c>
      <c r="AH374" s="5">
        <v>1</v>
      </c>
      <c r="AI374" s="5">
        <v>1</v>
      </c>
      <c r="AJ374" s="9">
        <f>IF(AND(ISNUMBER(F374),ISNUMBER(G374),ISNUMBER(K374),ISNUMBER(L374)),ACOS(MIN(1,COS(RADIANS(90-F374))*COS(RADIANS(90-K374))+SIN(RADIANS(90-F374))*SIN(RADIANS(90-K374))*COS(RADIANS(G374-L374))))*6371,"N/A")</f>
        <v>123.82638241899673</v>
      </c>
      <c r="AK374" s="10">
        <f>IF(AND(ISNUMBER(F374),ISNUMBER(G374),ISNUMBER(K374),ISNUMBER(L374)),MOD(DEGREES(ATAN2(COS(RADIANS(K374))*SIN(RADIANS(F374))-SIN(RADIANS(K374))*COS(RADIANS(F374))*COS(RADIANS(G374-L374)),SIN(RADIANS(G374-L374))*COS(RADIANS(F374))))+360,360),"N/A")</f>
        <v>84.156599944321783</v>
      </c>
      <c r="AL374" s="10" t="str">
        <f>IF(AND(ISNUMBER(F374),ISNUMBER(G374),ISNUMBER(M374),ISNUMBER(N374)),ACOS(MIN(1,COS(RADIANS(90-F374))*COS(RADIANS(90-M374))+SIN(RADIANS(90-F374))*SIN(RADIANS(90-M374))*COS(RADIANS(G374-N374))))*6371,"N/A")</f>
        <v>N/A</v>
      </c>
      <c r="AM374" s="10" t="str">
        <f>IF(AND(ISNUMBER(F374),ISNUMBER(G374),ISNUMBER(M374),ISNUMBER(N374)),MOD(DEGREES(ATAN2(COS(RADIANS(M374))*SIN(RADIANS(F374))-SIN(RADIANS(M374))*COS(RADIANS(F374))*COS(RADIANS(G374-N374)),SIN(RADIANS(G374-N374))*COS(RADIANS(F374))))+360,360),"N/A")</f>
        <v>N/A</v>
      </c>
      <c r="AN374" s="2"/>
      <c r="AO374" s="2"/>
    </row>
    <row r="375" spans="1:41" x14ac:dyDescent="0.2">
      <c r="A375" s="4" t="s">
        <v>259</v>
      </c>
      <c r="B375" s="4" t="s">
        <v>47</v>
      </c>
      <c r="C375" s="5">
        <v>600</v>
      </c>
      <c r="D375" s="4" t="s">
        <v>32</v>
      </c>
      <c r="E375" s="4" t="s">
        <v>48</v>
      </c>
      <c r="F375" s="15">
        <v>40.931100000000001</v>
      </c>
      <c r="G375" s="15">
        <v>15.605399999999999</v>
      </c>
      <c r="H375" s="16">
        <v>656</v>
      </c>
      <c r="I375" s="4" t="s">
        <v>893</v>
      </c>
      <c r="J375" s="4" t="s">
        <v>15</v>
      </c>
      <c r="K375" s="6">
        <v>40.826999999999998</v>
      </c>
      <c r="L375" s="6">
        <v>14.138999999999999</v>
      </c>
      <c r="M375" s="5" t="s">
        <v>340</v>
      </c>
      <c r="N375" s="5" t="s">
        <v>340</v>
      </c>
      <c r="O375" s="4" t="s">
        <v>949</v>
      </c>
      <c r="P375" s="5" t="s">
        <v>154</v>
      </c>
      <c r="Q375" s="5">
        <v>9999</v>
      </c>
      <c r="R375" s="4" t="s">
        <v>184</v>
      </c>
      <c r="S375" s="4" t="s">
        <v>1121</v>
      </c>
      <c r="T375" s="7">
        <v>14670</v>
      </c>
      <c r="U375" s="7">
        <v>14967</v>
      </c>
      <c r="V375" s="7">
        <v>15227</v>
      </c>
      <c r="W375" s="15" t="s">
        <v>1354</v>
      </c>
      <c r="X375" s="21" t="s">
        <v>1050</v>
      </c>
      <c r="Y375" s="7">
        <v>12870</v>
      </c>
      <c r="Z375" s="7">
        <v>100</v>
      </c>
      <c r="AA375" s="7" t="s">
        <v>340</v>
      </c>
      <c r="AB375" s="5" t="s">
        <v>340</v>
      </c>
      <c r="AC375" s="7">
        <v>18540</v>
      </c>
      <c r="AD375" s="7">
        <v>930</v>
      </c>
      <c r="AE375" s="7">
        <v>14967</v>
      </c>
      <c r="AF375" s="7" t="s">
        <v>950</v>
      </c>
      <c r="AG375" s="7" t="s">
        <v>340</v>
      </c>
      <c r="AH375" s="5">
        <v>1</v>
      </c>
      <c r="AI375" s="5">
        <v>1</v>
      </c>
      <c r="AJ375" s="9">
        <f>IF(AND(ISNUMBER(F375),ISNUMBER(G375),ISNUMBER(K375),ISNUMBER(L375)),ACOS(MIN(1,COS(RADIANS(90-F375))*COS(RADIANS(90-K375))+SIN(RADIANS(90-F375))*SIN(RADIANS(90-K375))*COS(RADIANS(G375-L375))))*6371,"N/A")</f>
        <v>123.82638241899673</v>
      </c>
      <c r="AK375" s="10">
        <f>IF(AND(ISNUMBER(F375),ISNUMBER(G375),ISNUMBER(K375),ISNUMBER(L375)),MOD(DEGREES(ATAN2(COS(RADIANS(K375))*SIN(RADIANS(F375))-SIN(RADIANS(K375))*COS(RADIANS(F375))*COS(RADIANS(G375-L375)),SIN(RADIANS(G375-L375))*COS(RADIANS(F375))))+360,360),"N/A")</f>
        <v>84.156599944321783</v>
      </c>
      <c r="AL375" s="10" t="str">
        <f>IF(AND(ISNUMBER(F375),ISNUMBER(G375),ISNUMBER(M375),ISNUMBER(N375)),ACOS(MIN(1,COS(RADIANS(90-F375))*COS(RADIANS(90-M375))+SIN(RADIANS(90-F375))*SIN(RADIANS(90-M375))*COS(RADIANS(G375-N375))))*6371,"N/A")</f>
        <v>N/A</v>
      </c>
      <c r="AM375" s="10" t="str">
        <f>IF(AND(ISNUMBER(F375),ISNUMBER(G375),ISNUMBER(M375),ISNUMBER(N375)),MOD(DEGREES(ATAN2(COS(RADIANS(M375))*SIN(RADIANS(F375))-SIN(RADIANS(M375))*COS(RADIANS(F375))*COS(RADIANS(G375-N375)),SIN(RADIANS(G375-N375))*COS(RADIANS(F375))))+360,360),"N/A")</f>
        <v>N/A</v>
      </c>
      <c r="AN375" s="2"/>
      <c r="AO375" s="2"/>
    </row>
    <row r="376" spans="1:41" x14ac:dyDescent="0.2">
      <c r="A376" s="4" t="s">
        <v>263</v>
      </c>
      <c r="B376" s="4" t="s">
        <v>47</v>
      </c>
      <c r="C376" s="5">
        <v>600</v>
      </c>
      <c r="D376" s="4" t="s">
        <v>32</v>
      </c>
      <c r="E376" s="4" t="s">
        <v>48</v>
      </c>
      <c r="F376" s="15">
        <v>40.931100000000001</v>
      </c>
      <c r="G376" s="15">
        <v>15.605399999999999</v>
      </c>
      <c r="H376" s="16">
        <v>656</v>
      </c>
      <c r="I376" s="4" t="s">
        <v>893</v>
      </c>
      <c r="J376" s="4" t="s">
        <v>42</v>
      </c>
      <c r="K376" s="6">
        <v>37.747999999999998</v>
      </c>
      <c r="L376" s="6">
        <v>14.999000000000001</v>
      </c>
      <c r="M376" s="5" t="s">
        <v>340</v>
      </c>
      <c r="N376" s="5" t="s">
        <v>340</v>
      </c>
      <c r="O376" s="4" t="s">
        <v>874</v>
      </c>
      <c r="P376" s="5">
        <v>13</v>
      </c>
      <c r="Q376" s="5">
        <v>9999</v>
      </c>
      <c r="R376" s="4" t="s">
        <v>184</v>
      </c>
      <c r="S376" s="4" t="s">
        <v>1121</v>
      </c>
      <c r="T376" s="7">
        <v>17048</v>
      </c>
      <c r="U376" s="7">
        <v>17294</v>
      </c>
      <c r="V376" s="7">
        <v>17717</v>
      </c>
      <c r="W376" s="15" t="s">
        <v>934</v>
      </c>
      <c r="X376" s="15" t="s">
        <v>1365</v>
      </c>
      <c r="Y376" s="7">
        <v>14650</v>
      </c>
      <c r="Z376" s="7">
        <v>90</v>
      </c>
      <c r="AA376" s="7" t="s">
        <v>340</v>
      </c>
      <c r="AB376" s="5" t="s">
        <v>340</v>
      </c>
      <c r="AC376" s="7">
        <v>16440</v>
      </c>
      <c r="AD376" s="7">
        <v>820</v>
      </c>
      <c r="AE376" s="7">
        <v>17304</v>
      </c>
      <c r="AF376" s="7">
        <v>152</v>
      </c>
      <c r="AG376" s="7" t="s">
        <v>340</v>
      </c>
      <c r="AH376" s="5">
        <v>1</v>
      </c>
      <c r="AI376" s="5">
        <v>1</v>
      </c>
      <c r="AJ376" s="9">
        <f>IF(AND(ISNUMBER(F376),ISNUMBER(G376),ISNUMBER(K376),ISNUMBER(L376)),ACOS(MIN(1,COS(RADIANS(90-F376))*COS(RADIANS(90-K376))+SIN(RADIANS(90-F376))*SIN(RADIANS(90-K376))*COS(RADIANS(G376-L376))))*6371,"N/A")</f>
        <v>357.76278023348448</v>
      </c>
      <c r="AK376" s="10">
        <f>IF(AND(ISNUMBER(F376),ISNUMBER(G376),ISNUMBER(K376),ISNUMBER(L376)),MOD(DEGREES(ATAN2(COS(RADIANS(K376))*SIN(RADIANS(F376))-SIN(RADIANS(K376))*COS(RADIANS(F376))*COS(RADIANS(G376-L376)),SIN(RADIANS(G376-L376))*COS(RADIANS(F376))))+360,360),"N/A")</f>
        <v>8.1904019632667087</v>
      </c>
      <c r="AL376" s="10" t="str">
        <f>IF(AND(ISNUMBER(F376),ISNUMBER(G376),ISNUMBER(M376),ISNUMBER(N376)),ACOS(MIN(1,COS(RADIANS(90-F376))*COS(RADIANS(90-M376))+SIN(RADIANS(90-F376))*SIN(RADIANS(90-M376))*COS(RADIANS(G376-N376))))*6371,"N/A")</f>
        <v>N/A</v>
      </c>
      <c r="AM376" s="10" t="str">
        <f>IF(AND(ISNUMBER(F376),ISNUMBER(G376),ISNUMBER(M376),ISNUMBER(N376)),MOD(DEGREES(ATAN2(COS(RADIANS(M376))*SIN(RADIANS(F376))-SIN(RADIANS(M376))*COS(RADIANS(F376))*COS(RADIANS(G376-N376)),SIN(RADIANS(G376-N376))*COS(RADIANS(F376))))+360,360),"N/A")</f>
        <v>N/A</v>
      </c>
      <c r="AN376" s="2"/>
      <c r="AO376" s="2"/>
    </row>
    <row r="377" spans="1:41" x14ac:dyDescent="0.2">
      <c r="A377" s="4" t="s">
        <v>289</v>
      </c>
      <c r="B377" s="4" t="s">
        <v>47</v>
      </c>
      <c r="C377" s="5">
        <v>600</v>
      </c>
      <c r="D377" s="4" t="s">
        <v>32</v>
      </c>
      <c r="E377" s="4" t="s">
        <v>48</v>
      </c>
      <c r="F377" s="15">
        <v>40.931100000000001</v>
      </c>
      <c r="G377" s="15">
        <v>15.605399999999999</v>
      </c>
      <c r="H377" s="16">
        <v>656</v>
      </c>
      <c r="I377" s="4" t="s">
        <v>893</v>
      </c>
      <c r="J377" s="4" t="s">
        <v>150</v>
      </c>
      <c r="K377" s="6">
        <v>40.729999999999997</v>
      </c>
      <c r="L377" s="6">
        <v>13.897</v>
      </c>
      <c r="M377" s="5" t="s">
        <v>340</v>
      </c>
      <c r="N377" s="5" t="s">
        <v>340</v>
      </c>
      <c r="O377" s="4" t="s">
        <v>1068</v>
      </c>
      <c r="P377" s="5" t="s">
        <v>166</v>
      </c>
      <c r="Q377" s="5">
        <v>9999</v>
      </c>
      <c r="R377" s="4" t="s">
        <v>184</v>
      </c>
      <c r="S377" s="4" t="s">
        <v>1121</v>
      </c>
      <c r="T377" s="12">
        <v>2890</v>
      </c>
      <c r="U377" s="12">
        <v>3040</v>
      </c>
      <c r="V377" s="12">
        <v>3190</v>
      </c>
      <c r="W377" s="21" t="s">
        <v>924</v>
      </c>
      <c r="X377" s="15" t="s">
        <v>923</v>
      </c>
      <c r="Y377" s="7">
        <v>2790</v>
      </c>
      <c r="Z377" s="7">
        <v>150</v>
      </c>
      <c r="AA377" s="7" t="s">
        <v>340</v>
      </c>
      <c r="AB377" s="5" t="s">
        <v>340</v>
      </c>
      <c r="AC377" s="7">
        <v>3040</v>
      </c>
      <c r="AD377" s="7">
        <v>150</v>
      </c>
      <c r="AE377" s="7" t="s">
        <v>340</v>
      </c>
      <c r="AF377" s="7" t="s">
        <v>340</v>
      </c>
      <c r="AG377" s="7" t="s">
        <v>340</v>
      </c>
      <c r="AH377" s="5">
        <v>1</v>
      </c>
      <c r="AI377" s="5">
        <v>1</v>
      </c>
      <c r="AJ377" s="9">
        <f>IF(AND(ISNUMBER(F377),ISNUMBER(G377),ISNUMBER(K377),ISNUMBER(L377)),ACOS(MIN(1,COS(RADIANS(90-F377))*COS(RADIANS(90-K377))+SIN(RADIANS(90-F377))*SIN(RADIANS(90-K377))*COS(RADIANS(G377-L377))))*6371,"N/A")</f>
        <v>145.4631770282312</v>
      </c>
      <c r="AK377" s="10">
        <f>IF(AND(ISNUMBER(F377),ISNUMBER(G377),ISNUMBER(K377),ISNUMBER(L377)),MOD(DEGREES(ATAN2(COS(RADIANS(K377))*SIN(RADIANS(F377))-SIN(RADIANS(K377))*COS(RADIANS(F377))*COS(RADIANS(G377-L377)),SIN(RADIANS(G377-L377))*COS(RADIANS(F377))))+360,360),"N/A")</f>
        <v>80.599433334981825</v>
      </c>
      <c r="AL377" s="10" t="str">
        <f>IF(AND(ISNUMBER(F377),ISNUMBER(G377),ISNUMBER(M377),ISNUMBER(N377)),ACOS(MIN(1,COS(RADIANS(90-F377))*COS(RADIANS(90-M377))+SIN(RADIANS(90-F377))*SIN(RADIANS(90-M377))*COS(RADIANS(G377-N377))))*6371,"N/A")</f>
        <v>N/A</v>
      </c>
      <c r="AM377" s="10" t="str">
        <f>IF(AND(ISNUMBER(F377),ISNUMBER(G377),ISNUMBER(M377),ISNUMBER(N377)),MOD(DEGREES(ATAN2(COS(RADIANS(M377))*SIN(RADIANS(F377))-SIN(RADIANS(M377))*COS(RADIANS(F377))*COS(RADIANS(G377-N377)),SIN(RADIANS(G377-N377))*COS(RADIANS(F377))))+360,360),"N/A")</f>
        <v>N/A</v>
      </c>
      <c r="AN377" s="2"/>
      <c r="AO377" s="2"/>
    </row>
    <row r="378" spans="1:41" x14ac:dyDescent="0.2">
      <c r="A378" s="4" t="s">
        <v>292</v>
      </c>
      <c r="B378" s="4" t="s">
        <v>47</v>
      </c>
      <c r="C378" s="5">
        <v>600</v>
      </c>
      <c r="D378" s="4" t="s">
        <v>32</v>
      </c>
      <c r="E378" s="4" t="s">
        <v>48</v>
      </c>
      <c r="F378" s="15">
        <v>40.931100000000001</v>
      </c>
      <c r="G378" s="15">
        <v>15.605399999999999</v>
      </c>
      <c r="H378" s="16">
        <v>656</v>
      </c>
      <c r="I378" s="4" t="s">
        <v>893</v>
      </c>
      <c r="J378" s="4" t="s">
        <v>16</v>
      </c>
      <c r="K378" s="6">
        <v>40.820999999999998</v>
      </c>
      <c r="L378" s="6">
        <v>14.426</v>
      </c>
      <c r="M378" s="5" t="s">
        <v>340</v>
      </c>
      <c r="N378" s="5" t="s">
        <v>340</v>
      </c>
      <c r="O378" s="4" t="s">
        <v>331</v>
      </c>
      <c r="P378" s="5" t="s">
        <v>301</v>
      </c>
      <c r="Q378" s="5">
        <v>9999</v>
      </c>
      <c r="R378" s="4" t="s">
        <v>184</v>
      </c>
      <c r="S378" s="4" t="s">
        <v>1121</v>
      </c>
      <c r="T378" s="12">
        <v>929</v>
      </c>
      <c r="U378" s="12">
        <v>1085</v>
      </c>
      <c r="V378" s="12">
        <v>1241</v>
      </c>
      <c r="W378" s="21" t="s">
        <v>1091</v>
      </c>
      <c r="X378" s="15" t="s">
        <v>1388</v>
      </c>
      <c r="Y378" s="7">
        <v>1140</v>
      </c>
      <c r="Z378" s="7">
        <v>60</v>
      </c>
      <c r="AA378" s="7" t="s">
        <v>340</v>
      </c>
      <c r="AB378" s="5" t="s">
        <v>340</v>
      </c>
      <c r="AC378" s="12">
        <v>1070</v>
      </c>
      <c r="AD378" s="7">
        <v>50</v>
      </c>
      <c r="AE378" s="7" t="s">
        <v>340</v>
      </c>
      <c r="AF378" s="7" t="s">
        <v>340</v>
      </c>
      <c r="AG378" s="7" t="s">
        <v>340</v>
      </c>
      <c r="AH378" s="5">
        <v>1</v>
      </c>
      <c r="AI378" s="5">
        <v>1</v>
      </c>
      <c r="AJ378" s="9">
        <f>IF(AND(ISNUMBER(F378),ISNUMBER(G378),ISNUMBER(K378),ISNUMBER(L378)),ACOS(MIN(1,COS(RADIANS(90-F378))*COS(RADIANS(90-K378))+SIN(RADIANS(90-F378))*SIN(RADIANS(90-K378))*COS(RADIANS(G378-L378))))*6371,"N/A")</f>
        <v>99.91308978704707</v>
      </c>
      <c r="AK378" s="10">
        <f>IF(AND(ISNUMBER(F378),ISNUMBER(G378),ISNUMBER(K378),ISNUMBER(L378)),MOD(DEGREES(ATAN2(COS(RADIANS(K378))*SIN(RADIANS(F378))-SIN(RADIANS(K378))*COS(RADIANS(F378))*COS(RADIANS(G378-L378)),SIN(RADIANS(G378-L378))*COS(RADIANS(F378))))+360,360),"N/A")</f>
        <v>82.576120676736537</v>
      </c>
      <c r="AL378" s="10" t="str">
        <f>IF(AND(ISNUMBER(F378),ISNUMBER(G378),ISNUMBER(M378),ISNUMBER(N378)),ACOS(MIN(1,COS(RADIANS(90-F378))*COS(RADIANS(90-M378))+SIN(RADIANS(90-F378))*SIN(RADIANS(90-M378))*COS(RADIANS(G378-N378))))*6371,"N/A")</f>
        <v>N/A</v>
      </c>
      <c r="AM378" s="10" t="str">
        <f>IF(AND(ISNUMBER(F378),ISNUMBER(G378),ISNUMBER(M378),ISNUMBER(N378)),MOD(DEGREES(ATAN2(COS(RADIANS(M378))*SIN(RADIANS(F378))-SIN(RADIANS(M378))*COS(RADIANS(F378))*COS(RADIANS(G378-N378)),SIN(RADIANS(G378-N378))*COS(RADIANS(F378))))+360,360),"N/A")</f>
        <v>N/A</v>
      </c>
      <c r="AN378" s="2"/>
      <c r="AO378" s="2"/>
    </row>
    <row r="379" spans="1:41" x14ac:dyDescent="0.2">
      <c r="A379" s="4" t="s">
        <v>278</v>
      </c>
      <c r="B379" s="4" t="s">
        <v>47</v>
      </c>
      <c r="C379" s="5">
        <v>600</v>
      </c>
      <c r="D379" s="4" t="s">
        <v>32</v>
      </c>
      <c r="E379" s="4" t="s">
        <v>48</v>
      </c>
      <c r="F379" s="15">
        <v>40.931100000000001</v>
      </c>
      <c r="G379" s="15">
        <v>15.605399999999999</v>
      </c>
      <c r="H379" s="16">
        <v>656</v>
      </c>
      <c r="I379" s="4" t="s">
        <v>893</v>
      </c>
      <c r="J379" s="4" t="s">
        <v>16</v>
      </c>
      <c r="K379" s="6">
        <v>40.820999999999998</v>
      </c>
      <c r="L379" s="6">
        <v>14.426</v>
      </c>
      <c r="M379" s="5" t="s">
        <v>340</v>
      </c>
      <c r="N379" s="5" t="s">
        <v>340</v>
      </c>
      <c r="O379" s="4" t="s">
        <v>872</v>
      </c>
      <c r="P379" s="5" t="s">
        <v>305</v>
      </c>
      <c r="Q379" s="5">
        <v>9999</v>
      </c>
      <c r="R379" s="4" t="s">
        <v>184</v>
      </c>
      <c r="S379" s="4" t="s">
        <v>1121</v>
      </c>
      <c r="T379" s="12">
        <v>8723</v>
      </c>
      <c r="U379" s="7">
        <v>8866</v>
      </c>
      <c r="V379" s="12">
        <v>9009</v>
      </c>
      <c r="W379" s="15" t="s">
        <v>1117</v>
      </c>
      <c r="X379" s="21" t="s">
        <v>1360</v>
      </c>
      <c r="Y379" s="7">
        <v>8010</v>
      </c>
      <c r="Z379" s="7">
        <v>35</v>
      </c>
      <c r="AA379" s="7" t="s">
        <v>340</v>
      </c>
      <c r="AB379" s="5" t="s">
        <v>340</v>
      </c>
      <c r="AC379" s="7">
        <v>9620</v>
      </c>
      <c r="AD379" s="7">
        <v>480</v>
      </c>
      <c r="AE379" s="7" t="s">
        <v>340</v>
      </c>
      <c r="AF379" s="7" t="s">
        <v>340</v>
      </c>
      <c r="AG379" s="7" t="s">
        <v>340</v>
      </c>
      <c r="AH379" s="5">
        <v>1</v>
      </c>
      <c r="AI379" s="5">
        <v>1</v>
      </c>
      <c r="AJ379" s="9">
        <f>IF(AND(ISNUMBER(F379),ISNUMBER(G379),ISNUMBER(K379),ISNUMBER(L379)),ACOS(MIN(1,COS(RADIANS(90-F379))*COS(RADIANS(90-K379))+SIN(RADIANS(90-F379))*SIN(RADIANS(90-K379))*COS(RADIANS(G379-L379))))*6371,"N/A")</f>
        <v>99.91308978704707</v>
      </c>
      <c r="AK379" s="10">
        <f>IF(AND(ISNUMBER(F379),ISNUMBER(G379),ISNUMBER(K379),ISNUMBER(L379)),MOD(DEGREES(ATAN2(COS(RADIANS(K379))*SIN(RADIANS(F379))-SIN(RADIANS(K379))*COS(RADIANS(F379))*COS(RADIANS(G379-L379)),SIN(RADIANS(G379-L379))*COS(RADIANS(F379))))+360,360),"N/A")</f>
        <v>82.576120676736537</v>
      </c>
      <c r="AL379" s="10" t="str">
        <f>IF(AND(ISNUMBER(F379),ISNUMBER(G379),ISNUMBER(M379),ISNUMBER(N379)),ACOS(MIN(1,COS(RADIANS(90-F379))*COS(RADIANS(90-M379))+SIN(RADIANS(90-F379))*SIN(RADIANS(90-M379))*COS(RADIANS(G379-N379))))*6371,"N/A")</f>
        <v>N/A</v>
      </c>
      <c r="AM379" s="10" t="str">
        <f>IF(AND(ISNUMBER(F379),ISNUMBER(G379),ISNUMBER(M379),ISNUMBER(N379)),MOD(DEGREES(ATAN2(COS(RADIANS(M379))*SIN(RADIANS(F379))-SIN(RADIANS(M379))*COS(RADIANS(F379))*COS(RADIANS(G379-N379)),SIN(RADIANS(G379-N379))*COS(RADIANS(F379))))+360,360),"N/A")</f>
        <v>N/A</v>
      </c>
      <c r="AN379" s="2"/>
      <c r="AO379" s="2"/>
    </row>
    <row r="380" spans="1:41" x14ac:dyDescent="0.2">
      <c r="A380" s="4" t="s">
        <v>293</v>
      </c>
      <c r="B380" s="4" t="s">
        <v>47</v>
      </c>
      <c r="C380" s="5">
        <v>600</v>
      </c>
      <c r="D380" s="4" t="s">
        <v>32</v>
      </c>
      <c r="E380" s="4" t="s">
        <v>48</v>
      </c>
      <c r="F380" s="15">
        <v>40.931100000000001</v>
      </c>
      <c r="G380" s="15">
        <v>15.605399999999999</v>
      </c>
      <c r="H380" s="16">
        <v>656</v>
      </c>
      <c r="I380" s="4" t="s">
        <v>893</v>
      </c>
      <c r="J380" s="4" t="s">
        <v>16</v>
      </c>
      <c r="K380" s="6">
        <v>40.820999999999998</v>
      </c>
      <c r="L380" s="6">
        <v>14.426</v>
      </c>
      <c r="M380" s="5" t="s">
        <v>340</v>
      </c>
      <c r="N380" s="5" t="s">
        <v>340</v>
      </c>
      <c r="O380" s="4" t="s">
        <v>14</v>
      </c>
      <c r="P380" s="5" t="s">
        <v>162</v>
      </c>
      <c r="Q380" s="5">
        <v>9999</v>
      </c>
      <c r="R380" s="4" t="s">
        <v>184</v>
      </c>
      <c r="S380" s="4" t="s">
        <v>1121</v>
      </c>
      <c r="T380" s="12">
        <v>780</v>
      </c>
      <c r="U380" s="12">
        <v>820</v>
      </c>
      <c r="V380" s="12">
        <v>860</v>
      </c>
      <c r="W380" s="21" t="s">
        <v>547</v>
      </c>
      <c r="X380" s="15" t="s">
        <v>1318</v>
      </c>
      <c r="Y380" s="7" t="s">
        <v>340</v>
      </c>
      <c r="Z380" s="7" t="s">
        <v>340</v>
      </c>
      <c r="AA380" s="7" t="s">
        <v>340</v>
      </c>
      <c r="AB380" s="5" t="s">
        <v>340</v>
      </c>
      <c r="AC380" s="12">
        <v>820</v>
      </c>
      <c r="AD380" s="7">
        <v>40</v>
      </c>
      <c r="AE380" s="7" t="s">
        <v>340</v>
      </c>
      <c r="AF380" s="7" t="s">
        <v>340</v>
      </c>
      <c r="AG380" s="7" t="s">
        <v>340</v>
      </c>
      <c r="AH380" s="5">
        <v>1</v>
      </c>
      <c r="AI380" s="5">
        <v>1</v>
      </c>
      <c r="AJ380" s="9">
        <f>IF(AND(ISNUMBER(F380),ISNUMBER(G380),ISNUMBER(K380),ISNUMBER(L380)),ACOS(MIN(1,COS(RADIANS(90-F380))*COS(RADIANS(90-K380))+SIN(RADIANS(90-F380))*SIN(RADIANS(90-K380))*COS(RADIANS(G380-L380))))*6371,"N/A")</f>
        <v>99.91308978704707</v>
      </c>
      <c r="AK380" s="10">
        <f>IF(AND(ISNUMBER(F380),ISNUMBER(G380),ISNUMBER(K380),ISNUMBER(L380)),MOD(DEGREES(ATAN2(COS(RADIANS(K380))*SIN(RADIANS(F380))-SIN(RADIANS(K380))*COS(RADIANS(F380))*COS(RADIANS(G380-L380)),SIN(RADIANS(G380-L380))*COS(RADIANS(F380))))+360,360),"N/A")</f>
        <v>82.576120676736537</v>
      </c>
      <c r="AL380" s="10" t="str">
        <f>IF(AND(ISNUMBER(F380),ISNUMBER(G380),ISNUMBER(M380),ISNUMBER(N380)),ACOS(MIN(1,COS(RADIANS(90-F380))*COS(RADIANS(90-M380))+SIN(RADIANS(90-F380))*SIN(RADIANS(90-M380))*COS(RADIANS(G380-N380))))*6371,"N/A")</f>
        <v>N/A</v>
      </c>
      <c r="AM380" s="10" t="str">
        <f>IF(AND(ISNUMBER(F380),ISNUMBER(G380),ISNUMBER(M380),ISNUMBER(N380)),MOD(DEGREES(ATAN2(COS(RADIANS(M380))*SIN(RADIANS(F380))-SIN(RADIANS(M380))*COS(RADIANS(F380))*COS(RADIANS(G380-N380)),SIN(RADIANS(G380-N380))*COS(RADIANS(F380))))+360,360),"N/A")</f>
        <v>N/A</v>
      </c>
      <c r="AN380" s="2"/>
      <c r="AO380" s="2"/>
    </row>
    <row r="381" spans="1:41" x14ac:dyDescent="0.2">
      <c r="A381" s="4" t="s">
        <v>329</v>
      </c>
      <c r="B381" s="4" t="s">
        <v>47</v>
      </c>
      <c r="C381" s="5">
        <v>600</v>
      </c>
      <c r="D381" s="4" t="s">
        <v>32</v>
      </c>
      <c r="E381" s="4" t="s">
        <v>48</v>
      </c>
      <c r="F381" s="15">
        <v>40.931100000000001</v>
      </c>
      <c r="G381" s="15">
        <v>15.605399999999999</v>
      </c>
      <c r="H381" s="16">
        <v>656</v>
      </c>
      <c r="I381" s="4" t="s">
        <v>893</v>
      </c>
      <c r="J381" s="4" t="s">
        <v>14</v>
      </c>
      <c r="K381" s="6" t="s">
        <v>340</v>
      </c>
      <c r="L381" s="6" t="s">
        <v>340</v>
      </c>
      <c r="M381" s="5" t="s">
        <v>340</v>
      </c>
      <c r="N381" s="5" t="s">
        <v>340</v>
      </c>
      <c r="O381" s="4" t="s">
        <v>14</v>
      </c>
      <c r="P381" s="5" t="s">
        <v>340</v>
      </c>
      <c r="Q381" s="5">
        <v>9999</v>
      </c>
      <c r="R381" s="4" t="s">
        <v>184</v>
      </c>
      <c r="S381" s="4" t="s">
        <v>892</v>
      </c>
      <c r="T381" s="12">
        <v>12260</v>
      </c>
      <c r="U381" s="12">
        <v>12910</v>
      </c>
      <c r="V381" s="12">
        <v>13560</v>
      </c>
      <c r="W381" s="21" t="s">
        <v>547</v>
      </c>
      <c r="X381" s="21" t="s">
        <v>1318</v>
      </c>
      <c r="Y381" s="7" t="s">
        <v>340</v>
      </c>
      <c r="Z381" s="7" t="s">
        <v>340</v>
      </c>
      <c r="AA381" s="7" t="s">
        <v>340</v>
      </c>
      <c r="AB381" s="5" t="s">
        <v>340</v>
      </c>
      <c r="AC381" s="12">
        <v>12910</v>
      </c>
      <c r="AD381" s="7">
        <v>650</v>
      </c>
      <c r="AE381" s="7" t="s">
        <v>340</v>
      </c>
      <c r="AF381" s="7" t="s">
        <v>340</v>
      </c>
      <c r="AG381" s="7" t="s">
        <v>340</v>
      </c>
      <c r="AH381" s="5">
        <v>1</v>
      </c>
      <c r="AI381" s="5">
        <v>1</v>
      </c>
      <c r="AJ381" s="9" t="str">
        <f>IF(AND(ISNUMBER(F381),ISNUMBER(G381),ISNUMBER(K381),ISNUMBER(L381)),ACOS(MIN(1,COS(RADIANS(90-F381))*COS(RADIANS(90-K381))+SIN(RADIANS(90-F381))*SIN(RADIANS(90-K381))*COS(RADIANS(G381-L381))))*6371,"N/A")</f>
        <v>N/A</v>
      </c>
      <c r="AK381" s="10" t="str">
        <f>IF(AND(ISNUMBER(F381),ISNUMBER(G381),ISNUMBER(K381),ISNUMBER(L381)),MOD(DEGREES(ATAN2(COS(RADIANS(K381))*SIN(RADIANS(F381))-SIN(RADIANS(K381))*COS(RADIANS(F381))*COS(RADIANS(G381-L381)),SIN(RADIANS(G381-L381))*COS(RADIANS(F381))))+360,360),"N/A")</f>
        <v>N/A</v>
      </c>
      <c r="AL381" s="10" t="str">
        <f>IF(AND(ISNUMBER(F381),ISNUMBER(G381),ISNUMBER(M381),ISNUMBER(N381)),ACOS(MIN(1,COS(RADIANS(90-F381))*COS(RADIANS(90-M381))+SIN(RADIANS(90-F381))*SIN(RADIANS(90-M381))*COS(RADIANS(G381-N381))))*6371,"N/A")</f>
        <v>N/A</v>
      </c>
      <c r="AM381" s="10" t="str">
        <f>IF(AND(ISNUMBER(F381),ISNUMBER(G381),ISNUMBER(M381),ISNUMBER(N381)),MOD(DEGREES(ATAN2(COS(RADIANS(M381))*SIN(RADIANS(F381))-SIN(RADIANS(M381))*COS(RADIANS(F381))*COS(RADIANS(G381-N381)),SIN(RADIANS(G381-N381))*COS(RADIANS(F381))))+360,360),"N/A")</f>
        <v>N/A</v>
      </c>
      <c r="AN381" s="2"/>
      <c r="AO381" s="2"/>
    </row>
    <row r="382" spans="1:41" x14ac:dyDescent="0.2">
      <c r="A382" s="4" t="s">
        <v>283</v>
      </c>
      <c r="B382" s="4" t="s">
        <v>47</v>
      </c>
      <c r="C382" s="5">
        <v>600</v>
      </c>
      <c r="D382" s="4" t="s">
        <v>32</v>
      </c>
      <c r="E382" s="4" t="s">
        <v>48</v>
      </c>
      <c r="F382" s="15">
        <v>40.931100000000001</v>
      </c>
      <c r="G382" s="15">
        <v>15.605399999999999</v>
      </c>
      <c r="H382" s="16">
        <v>656</v>
      </c>
      <c r="I382" s="4" t="s">
        <v>893</v>
      </c>
      <c r="J382" s="4" t="s">
        <v>15</v>
      </c>
      <c r="K382" s="6">
        <v>40.826999999999998</v>
      </c>
      <c r="L382" s="6">
        <v>14.138999999999999</v>
      </c>
      <c r="M382" s="5" t="s">
        <v>340</v>
      </c>
      <c r="N382" s="5" t="s">
        <v>340</v>
      </c>
      <c r="O382" s="4" t="s">
        <v>313</v>
      </c>
      <c r="P382" s="5" t="s">
        <v>166</v>
      </c>
      <c r="Q382" s="5">
        <v>9999</v>
      </c>
      <c r="R382" s="4" t="s">
        <v>41</v>
      </c>
      <c r="S382" s="4" t="s">
        <v>1121</v>
      </c>
      <c r="T382" s="7">
        <v>4101</v>
      </c>
      <c r="U382" s="12">
        <v>4236</v>
      </c>
      <c r="V382" s="12">
        <v>4370</v>
      </c>
      <c r="W382" s="15" t="s">
        <v>928</v>
      </c>
      <c r="X382" s="15" t="s">
        <v>1357</v>
      </c>
      <c r="Y382" s="7" t="s">
        <v>340</v>
      </c>
      <c r="Z382" s="7" t="s">
        <v>340</v>
      </c>
      <c r="AA382" s="7" t="s">
        <v>340</v>
      </c>
      <c r="AB382" s="7" t="s">
        <v>340</v>
      </c>
      <c r="AC382" s="7">
        <v>4620</v>
      </c>
      <c r="AD382" s="7">
        <v>230</v>
      </c>
      <c r="AE382" s="7">
        <v>4236</v>
      </c>
      <c r="AF382" s="7">
        <v>135</v>
      </c>
      <c r="AG382" s="7" t="s">
        <v>340</v>
      </c>
      <c r="AH382" s="5">
        <v>1</v>
      </c>
      <c r="AI382" s="5">
        <v>1</v>
      </c>
      <c r="AJ382" s="9">
        <f>IF(AND(ISNUMBER(F382),ISNUMBER(G382),ISNUMBER(K382),ISNUMBER(L382)),ACOS(MIN(1,COS(RADIANS(90-F382))*COS(RADIANS(90-K382))+SIN(RADIANS(90-F382))*SIN(RADIANS(90-K382))*COS(RADIANS(G382-L382))))*6371,"N/A")</f>
        <v>123.82638241899673</v>
      </c>
      <c r="AK382" s="10">
        <f>IF(AND(ISNUMBER(F382),ISNUMBER(G382),ISNUMBER(K382),ISNUMBER(L382)),MOD(DEGREES(ATAN2(COS(RADIANS(K382))*SIN(RADIANS(F382))-SIN(RADIANS(K382))*COS(RADIANS(F382))*COS(RADIANS(G382-L382)),SIN(RADIANS(G382-L382))*COS(RADIANS(F382))))+360,360),"N/A")</f>
        <v>84.156599944321783</v>
      </c>
      <c r="AL382" s="10" t="str">
        <f>IF(AND(ISNUMBER(F382),ISNUMBER(G382),ISNUMBER(M382),ISNUMBER(N382)),ACOS(MIN(1,COS(RADIANS(90-F382))*COS(RADIANS(90-M382))+SIN(RADIANS(90-F382))*SIN(RADIANS(90-M382))*COS(RADIANS(G382-N382))))*6371,"N/A")</f>
        <v>N/A</v>
      </c>
      <c r="AM382" s="10" t="str">
        <f>IF(AND(ISNUMBER(F382),ISNUMBER(G382),ISNUMBER(M382),ISNUMBER(N382)),MOD(DEGREES(ATAN2(COS(RADIANS(M382))*SIN(RADIANS(F382))-SIN(RADIANS(M382))*COS(RADIANS(F382))*COS(RADIANS(G382-N382)),SIN(RADIANS(G382-N382))*COS(RADIANS(F382))))+360,360),"N/A")</f>
        <v>N/A</v>
      </c>
      <c r="AN382" s="2"/>
      <c r="AO382" s="2"/>
    </row>
    <row r="383" spans="1:41" x14ac:dyDescent="0.2">
      <c r="A383" s="4" t="s">
        <v>282</v>
      </c>
      <c r="B383" s="4" t="s">
        <v>47</v>
      </c>
      <c r="C383" s="5">
        <v>600</v>
      </c>
      <c r="D383" s="4" t="s">
        <v>32</v>
      </c>
      <c r="E383" s="4" t="s">
        <v>48</v>
      </c>
      <c r="F383" s="15">
        <v>40.931100000000001</v>
      </c>
      <c r="G383" s="15">
        <v>15.605399999999999</v>
      </c>
      <c r="H383" s="16">
        <v>656</v>
      </c>
      <c r="I383" s="4" t="s">
        <v>893</v>
      </c>
      <c r="J383" s="4" t="s">
        <v>15</v>
      </c>
      <c r="K383" s="6">
        <v>40.826999999999998</v>
      </c>
      <c r="L383" s="6">
        <v>14.138999999999999</v>
      </c>
      <c r="M383" s="5" t="s">
        <v>340</v>
      </c>
      <c r="N383" s="5" t="s">
        <v>340</v>
      </c>
      <c r="O383" s="4" t="s">
        <v>313</v>
      </c>
      <c r="P383" s="5" t="s">
        <v>303</v>
      </c>
      <c r="Q383" s="5">
        <v>9999</v>
      </c>
      <c r="R383" s="4" t="s">
        <v>41</v>
      </c>
      <c r="S383" s="4" t="s">
        <v>1121</v>
      </c>
      <c r="T383" s="7">
        <v>4101</v>
      </c>
      <c r="U383" s="12">
        <v>4236</v>
      </c>
      <c r="V383" s="12">
        <v>4370</v>
      </c>
      <c r="W383" s="15" t="s">
        <v>928</v>
      </c>
      <c r="X383" s="15" t="s">
        <v>1357</v>
      </c>
      <c r="Y383" s="7" t="s">
        <v>340</v>
      </c>
      <c r="Z383" s="7" t="s">
        <v>340</v>
      </c>
      <c r="AA383" s="7" t="s">
        <v>340</v>
      </c>
      <c r="AB383" s="7" t="s">
        <v>340</v>
      </c>
      <c r="AC383" s="7">
        <v>4660</v>
      </c>
      <c r="AD383" s="7">
        <v>230</v>
      </c>
      <c r="AE383" s="7">
        <v>4236</v>
      </c>
      <c r="AF383" s="7">
        <v>135</v>
      </c>
      <c r="AG383" s="7" t="s">
        <v>340</v>
      </c>
      <c r="AH383" s="5">
        <v>1</v>
      </c>
      <c r="AI383" s="5">
        <v>1</v>
      </c>
      <c r="AJ383" s="9">
        <f>IF(AND(ISNUMBER(F383),ISNUMBER(G383),ISNUMBER(K383),ISNUMBER(L383)),ACOS(MIN(1,COS(RADIANS(90-F383))*COS(RADIANS(90-K383))+SIN(RADIANS(90-F383))*SIN(RADIANS(90-K383))*COS(RADIANS(G383-L383))))*6371,"N/A")</f>
        <v>123.82638241899673</v>
      </c>
      <c r="AK383" s="10">
        <f>IF(AND(ISNUMBER(F383),ISNUMBER(G383),ISNUMBER(K383),ISNUMBER(L383)),MOD(DEGREES(ATAN2(COS(RADIANS(K383))*SIN(RADIANS(F383))-SIN(RADIANS(K383))*COS(RADIANS(F383))*COS(RADIANS(G383-L383)),SIN(RADIANS(G383-L383))*COS(RADIANS(F383))))+360,360),"N/A")</f>
        <v>84.156599944321783</v>
      </c>
      <c r="AL383" s="10" t="str">
        <f>IF(AND(ISNUMBER(F383),ISNUMBER(G383),ISNUMBER(M383),ISNUMBER(N383)),ACOS(MIN(1,COS(RADIANS(90-F383))*COS(RADIANS(90-M383))+SIN(RADIANS(90-F383))*SIN(RADIANS(90-M383))*COS(RADIANS(G383-N383))))*6371,"N/A")</f>
        <v>N/A</v>
      </c>
      <c r="AM383" s="10" t="str">
        <f>IF(AND(ISNUMBER(F383),ISNUMBER(G383),ISNUMBER(M383),ISNUMBER(N383)),MOD(DEGREES(ATAN2(COS(RADIANS(M383))*SIN(RADIANS(F383))-SIN(RADIANS(M383))*COS(RADIANS(F383))*COS(RADIANS(G383-N383)),SIN(RADIANS(G383-N383))*COS(RADIANS(F383))))+360,360),"N/A")</f>
        <v>N/A</v>
      </c>
      <c r="AN383" s="2"/>
      <c r="AO383" s="2"/>
    </row>
    <row r="384" spans="1:41" x14ac:dyDescent="0.2">
      <c r="A384" s="4" t="s">
        <v>276</v>
      </c>
      <c r="B384" s="4" t="s">
        <v>47</v>
      </c>
      <c r="C384" s="5">
        <v>600</v>
      </c>
      <c r="D384" s="4" t="s">
        <v>32</v>
      </c>
      <c r="E384" s="4" t="s">
        <v>48</v>
      </c>
      <c r="F384" s="15">
        <v>40.931100000000001</v>
      </c>
      <c r="G384" s="15">
        <v>15.605399999999999</v>
      </c>
      <c r="H384" s="16">
        <v>656</v>
      </c>
      <c r="I384" s="4" t="s">
        <v>893</v>
      </c>
      <c r="J384" s="4" t="s">
        <v>15</v>
      </c>
      <c r="K384" s="6">
        <v>40.826999999999998</v>
      </c>
      <c r="L384" s="6">
        <v>14.138999999999999</v>
      </c>
      <c r="M384" s="5" t="s">
        <v>340</v>
      </c>
      <c r="N384" s="5" t="s">
        <v>340</v>
      </c>
      <c r="O384" s="4" t="s">
        <v>34</v>
      </c>
      <c r="P384" s="5" t="s">
        <v>319</v>
      </c>
      <c r="Q384" s="5">
        <v>9999</v>
      </c>
      <c r="R384" s="4" t="s">
        <v>41</v>
      </c>
      <c r="S384" s="4" t="s">
        <v>1121</v>
      </c>
      <c r="T384" s="12">
        <v>9522</v>
      </c>
      <c r="U384" s="12">
        <v>9605</v>
      </c>
      <c r="V384" s="12">
        <v>9702</v>
      </c>
      <c r="W384" s="15" t="s">
        <v>928</v>
      </c>
      <c r="X384" s="21" t="s">
        <v>1357</v>
      </c>
      <c r="Y384" s="7" t="s">
        <v>340</v>
      </c>
      <c r="Z384" s="7" t="s">
        <v>340</v>
      </c>
      <c r="AA384" s="7" t="s">
        <v>340</v>
      </c>
      <c r="AB384" s="7" t="s">
        <v>340</v>
      </c>
      <c r="AC384" s="7">
        <v>9890</v>
      </c>
      <c r="AD384" s="7">
        <v>490</v>
      </c>
      <c r="AE384" s="7">
        <v>9610</v>
      </c>
      <c r="AF384" s="7">
        <v>54</v>
      </c>
      <c r="AG384" s="7" t="s">
        <v>340</v>
      </c>
      <c r="AH384" s="5">
        <v>1</v>
      </c>
      <c r="AI384" s="5">
        <v>1</v>
      </c>
      <c r="AJ384" s="9">
        <f>IF(AND(ISNUMBER(F384),ISNUMBER(G384),ISNUMBER(K384),ISNUMBER(L384)),ACOS(MIN(1,COS(RADIANS(90-F384))*COS(RADIANS(90-K384))+SIN(RADIANS(90-F384))*SIN(RADIANS(90-K384))*COS(RADIANS(G384-L384))))*6371,"N/A")</f>
        <v>123.82638241899673</v>
      </c>
      <c r="AK384" s="10">
        <f>IF(AND(ISNUMBER(F384),ISNUMBER(G384),ISNUMBER(K384),ISNUMBER(L384)),MOD(DEGREES(ATAN2(COS(RADIANS(K384))*SIN(RADIANS(F384))-SIN(RADIANS(K384))*COS(RADIANS(F384))*COS(RADIANS(G384-L384)),SIN(RADIANS(G384-L384))*COS(RADIANS(F384))))+360,360),"N/A")</f>
        <v>84.156599944321783</v>
      </c>
      <c r="AL384" s="10" t="str">
        <f>IF(AND(ISNUMBER(F384),ISNUMBER(G384),ISNUMBER(M384),ISNUMBER(N384)),ACOS(MIN(1,COS(RADIANS(90-F384))*COS(RADIANS(90-M384))+SIN(RADIANS(90-F384))*SIN(RADIANS(90-M384))*COS(RADIANS(G384-N384))))*6371,"N/A")</f>
        <v>N/A</v>
      </c>
      <c r="AM384" s="10" t="str">
        <f>IF(AND(ISNUMBER(F384),ISNUMBER(G384),ISNUMBER(M384),ISNUMBER(N384)),MOD(DEGREES(ATAN2(COS(RADIANS(M384))*SIN(RADIANS(F384))-SIN(RADIANS(M384))*COS(RADIANS(F384))*COS(RADIANS(G384-N384)),SIN(RADIANS(G384-N384))*COS(RADIANS(F384))))+360,360),"N/A")</f>
        <v>N/A</v>
      </c>
      <c r="AN384" s="2"/>
      <c r="AO384" s="2"/>
    </row>
    <row r="385" spans="1:41" x14ac:dyDescent="0.2">
      <c r="A385" s="4" t="s">
        <v>320</v>
      </c>
      <c r="B385" s="4" t="s">
        <v>47</v>
      </c>
      <c r="C385" s="5">
        <v>600</v>
      </c>
      <c r="D385" s="4" t="s">
        <v>32</v>
      </c>
      <c r="E385" s="4" t="s">
        <v>48</v>
      </c>
      <c r="F385" s="15">
        <v>40.931100000000001</v>
      </c>
      <c r="G385" s="15">
        <v>15.605399999999999</v>
      </c>
      <c r="H385" s="16">
        <v>656</v>
      </c>
      <c r="I385" s="4" t="s">
        <v>893</v>
      </c>
      <c r="J385" s="4" t="s">
        <v>15</v>
      </c>
      <c r="K385" s="6">
        <v>40.826999999999998</v>
      </c>
      <c r="L385" s="6">
        <v>14.138999999999999</v>
      </c>
      <c r="M385" s="5" t="s">
        <v>340</v>
      </c>
      <c r="N385" s="5" t="s">
        <v>340</v>
      </c>
      <c r="O385" s="4" t="s">
        <v>34</v>
      </c>
      <c r="P385" s="5" t="s">
        <v>340</v>
      </c>
      <c r="Q385" s="5">
        <v>9999</v>
      </c>
      <c r="R385" s="4" t="s">
        <v>41</v>
      </c>
      <c r="S385" s="4" t="s">
        <v>1121</v>
      </c>
      <c r="T385" s="12">
        <v>9522</v>
      </c>
      <c r="U385" s="12">
        <v>9605</v>
      </c>
      <c r="V385" s="12">
        <v>9702</v>
      </c>
      <c r="W385" s="15" t="s">
        <v>928</v>
      </c>
      <c r="X385" s="21" t="s">
        <v>1357</v>
      </c>
      <c r="Y385" s="7" t="s">
        <v>340</v>
      </c>
      <c r="Z385" s="7" t="s">
        <v>340</v>
      </c>
      <c r="AA385" s="7" t="s">
        <v>340</v>
      </c>
      <c r="AB385" s="5" t="s">
        <v>340</v>
      </c>
      <c r="AC385" s="7">
        <v>9960</v>
      </c>
      <c r="AD385" s="7">
        <v>500</v>
      </c>
      <c r="AE385" s="7">
        <v>9610</v>
      </c>
      <c r="AF385" s="7">
        <v>54</v>
      </c>
      <c r="AG385" s="7" t="s">
        <v>340</v>
      </c>
      <c r="AH385" s="5">
        <v>1</v>
      </c>
      <c r="AI385" s="5">
        <v>1</v>
      </c>
      <c r="AJ385" s="9">
        <f>IF(AND(ISNUMBER(F385),ISNUMBER(G385),ISNUMBER(K385),ISNUMBER(L385)),ACOS(MIN(1,COS(RADIANS(90-F385))*COS(RADIANS(90-K385))+SIN(RADIANS(90-F385))*SIN(RADIANS(90-K385))*COS(RADIANS(G385-L385))))*6371,"N/A")</f>
        <v>123.82638241899673</v>
      </c>
      <c r="AK385" s="10">
        <f>IF(AND(ISNUMBER(F385),ISNUMBER(G385),ISNUMBER(K385),ISNUMBER(L385)),MOD(DEGREES(ATAN2(COS(RADIANS(K385))*SIN(RADIANS(F385))-SIN(RADIANS(K385))*COS(RADIANS(F385))*COS(RADIANS(G385-L385)),SIN(RADIANS(G385-L385))*COS(RADIANS(F385))))+360,360),"N/A")</f>
        <v>84.156599944321783</v>
      </c>
      <c r="AL385" s="10" t="str">
        <f>IF(AND(ISNUMBER(F385),ISNUMBER(G385),ISNUMBER(M385),ISNUMBER(N385)),ACOS(MIN(1,COS(RADIANS(90-F385))*COS(RADIANS(90-M385))+SIN(RADIANS(90-F385))*SIN(RADIANS(90-M385))*COS(RADIANS(G385-N385))))*6371,"N/A")</f>
        <v>N/A</v>
      </c>
      <c r="AM385" s="10" t="str">
        <f>IF(AND(ISNUMBER(F385),ISNUMBER(G385),ISNUMBER(M385),ISNUMBER(N385)),MOD(DEGREES(ATAN2(COS(RADIANS(M385))*SIN(RADIANS(F385))-SIN(RADIANS(M385))*COS(RADIANS(F385))*COS(RADIANS(G385-N385)),SIN(RADIANS(G385-N385))*COS(RADIANS(F385))))+360,360),"N/A")</f>
        <v>N/A</v>
      </c>
      <c r="AN385" s="2"/>
      <c r="AO385" s="2"/>
    </row>
    <row r="386" spans="1:41" x14ac:dyDescent="0.2">
      <c r="A386" s="4" t="s">
        <v>265</v>
      </c>
      <c r="B386" s="4" t="s">
        <v>47</v>
      </c>
      <c r="C386" s="5">
        <v>600</v>
      </c>
      <c r="D386" s="4" t="s">
        <v>32</v>
      </c>
      <c r="E386" s="4" t="s">
        <v>48</v>
      </c>
      <c r="F386" s="15">
        <v>40.931100000000001</v>
      </c>
      <c r="G386" s="15">
        <v>15.605399999999999</v>
      </c>
      <c r="H386" s="16">
        <v>656</v>
      </c>
      <c r="I386" s="4" t="s">
        <v>893</v>
      </c>
      <c r="J386" s="4" t="s">
        <v>15</v>
      </c>
      <c r="K386" s="6">
        <v>40.826999999999998</v>
      </c>
      <c r="L386" s="6">
        <v>14.138999999999999</v>
      </c>
      <c r="M386" s="5" t="s">
        <v>340</v>
      </c>
      <c r="N386" s="5" t="s">
        <v>340</v>
      </c>
      <c r="O386" s="4" t="s">
        <v>445</v>
      </c>
      <c r="P386" s="5">
        <v>18</v>
      </c>
      <c r="Q386" s="5">
        <v>9999</v>
      </c>
      <c r="R386" s="4" t="s">
        <v>41</v>
      </c>
      <c r="S386" s="4" t="s">
        <v>895</v>
      </c>
      <c r="T386" s="7">
        <v>15346</v>
      </c>
      <c r="U386" s="7">
        <v>15644</v>
      </c>
      <c r="V386" s="7">
        <v>15941</v>
      </c>
      <c r="W386" s="15" t="s">
        <v>1091</v>
      </c>
      <c r="X386" s="15" t="s">
        <v>1364</v>
      </c>
      <c r="Y386" s="7">
        <v>13070</v>
      </c>
      <c r="Z386" s="7">
        <v>90</v>
      </c>
      <c r="AA386" s="7" t="s">
        <v>340</v>
      </c>
      <c r="AB386" s="5" t="s">
        <v>340</v>
      </c>
      <c r="AC386" s="7">
        <v>15030</v>
      </c>
      <c r="AD386" s="7">
        <v>750</v>
      </c>
      <c r="AE386" s="7" t="s">
        <v>340</v>
      </c>
      <c r="AF386" s="7" t="s">
        <v>340</v>
      </c>
      <c r="AG386" s="7" t="s">
        <v>340</v>
      </c>
      <c r="AH386" s="5">
        <v>1</v>
      </c>
      <c r="AI386" s="5">
        <v>1</v>
      </c>
      <c r="AJ386" s="9">
        <f>IF(AND(ISNUMBER(F386),ISNUMBER(G386),ISNUMBER(K386),ISNUMBER(L386)),ACOS(MIN(1,COS(RADIANS(90-F386))*COS(RADIANS(90-K386))+SIN(RADIANS(90-F386))*SIN(RADIANS(90-K386))*COS(RADIANS(G386-L386))))*6371,"N/A")</f>
        <v>123.82638241899673</v>
      </c>
      <c r="AK386" s="10">
        <f>IF(AND(ISNUMBER(F386),ISNUMBER(G386),ISNUMBER(K386),ISNUMBER(L386)),MOD(DEGREES(ATAN2(COS(RADIANS(K386))*SIN(RADIANS(F386))-SIN(RADIANS(K386))*COS(RADIANS(F386))*COS(RADIANS(G386-L386)),SIN(RADIANS(G386-L386))*COS(RADIANS(F386))))+360,360),"N/A")</f>
        <v>84.156599944321783</v>
      </c>
      <c r="AL386" s="10" t="str">
        <f>IF(AND(ISNUMBER(F386),ISNUMBER(G386),ISNUMBER(M386),ISNUMBER(N386)),ACOS(MIN(1,COS(RADIANS(90-F386))*COS(RADIANS(90-M386))+SIN(RADIANS(90-F386))*SIN(RADIANS(90-M386))*COS(RADIANS(G386-N386))))*6371,"N/A")</f>
        <v>N/A</v>
      </c>
      <c r="AM386" s="10" t="str">
        <f>IF(AND(ISNUMBER(F386),ISNUMBER(G386),ISNUMBER(M386),ISNUMBER(N386)),MOD(DEGREES(ATAN2(COS(RADIANS(M386))*SIN(RADIANS(F386))-SIN(RADIANS(M386))*COS(RADIANS(F386))*COS(RADIANS(G386-N386)),SIN(RADIANS(G386-N386))*COS(RADIANS(F386))))+360,360),"N/A")</f>
        <v>N/A</v>
      </c>
      <c r="AN386" s="2"/>
      <c r="AO386" s="2"/>
    </row>
    <row r="387" spans="1:41" x14ac:dyDescent="0.2">
      <c r="A387" s="4" t="s">
        <v>267</v>
      </c>
      <c r="B387" s="4" t="s">
        <v>47</v>
      </c>
      <c r="C387" s="5">
        <v>600</v>
      </c>
      <c r="D387" s="4" t="s">
        <v>32</v>
      </c>
      <c r="E387" s="4" t="s">
        <v>48</v>
      </c>
      <c r="F387" s="15">
        <v>40.931100000000001</v>
      </c>
      <c r="G387" s="15">
        <v>15.605399999999999</v>
      </c>
      <c r="H387" s="16">
        <v>656</v>
      </c>
      <c r="I387" s="4" t="s">
        <v>893</v>
      </c>
      <c r="J387" s="4" t="s">
        <v>15</v>
      </c>
      <c r="K387" s="6">
        <v>40.826999999999998</v>
      </c>
      <c r="L387" s="6">
        <v>14.138999999999999</v>
      </c>
      <c r="M387" s="5" t="s">
        <v>340</v>
      </c>
      <c r="N387" s="5" t="s">
        <v>340</v>
      </c>
      <c r="O387" s="4" t="s">
        <v>20</v>
      </c>
      <c r="P387" s="5">
        <v>9</v>
      </c>
      <c r="Q387" s="5">
        <v>9999</v>
      </c>
      <c r="R387" s="4" t="s">
        <v>41</v>
      </c>
      <c r="S387" s="4" t="s">
        <v>1121</v>
      </c>
      <c r="T387" s="7">
        <v>13761</v>
      </c>
      <c r="U387" s="7">
        <v>14029</v>
      </c>
      <c r="V387" s="7">
        <v>14356</v>
      </c>
      <c r="W387" s="15" t="s">
        <v>933</v>
      </c>
      <c r="X387" s="15" t="s">
        <v>1358</v>
      </c>
      <c r="Y387" s="7" t="s">
        <v>340</v>
      </c>
      <c r="Z387" s="7" t="s">
        <v>340</v>
      </c>
      <c r="AA387" s="7" t="s">
        <v>340</v>
      </c>
      <c r="AB387" s="5" t="s">
        <v>340</v>
      </c>
      <c r="AC387" s="7">
        <v>14120</v>
      </c>
      <c r="AD387" s="7">
        <v>710</v>
      </c>
      <c r="AE387" s="7">
        <v>14037</v>
      </c>
      <c r="AF387" s="7">
        <v>156</v>
      </c>
      <c r="AG387" s="7" t="s">
        <v>340</v>
      </c>
      <c r="AH387" s="5">
        <v>1</v>
      </c>
      <c r="AI387" s="5">
        <v>1</v>
      </c>
      <c r="AJ387" s="9">
        <f>IF(AND(ISNUMBER(F387),ISNUMBER(G387),ISNUMBER(K387),ISNUMBER(L387)),ACOS(MIN(1,COS(RADIANS(90-F387))*COS(RADIANS(90-K387))+SIN(RADIANS(90-F387))*SIN(RADIANS(90-K387))*COS(RADIANS(G387-L387))))*6371,"N/A")</f>
        <v>123.82638241899673</v>
      </c>
      <c r="AK387" s="10">
        <f>IF(AND(ISNUMBER(F387),ISNUMBER(G387),ISNUMBER(K387),ISNUMBER(L387)),MOD(DEGREES(ATAN2(COS(RADIANS(K387))*SIN(RADIANS(F387))-SIN(RADIANS(K387))*COS(RADIANS(F387))*COS(RADIANS(G387-L387)),SIN(RADIANS(G387-L387))*COS(RADIANS(F387))))+360,360),"N/A")</f>
        <v>84.156599944321783</v>
      </c>
      <c r="AL387" s="10" t="str">
        <f>IF(AND(ISNUMBER(F387),ISNUMBER(G387),ISNUMBER(M387),ISNUMBER(N387)),ACOS(MIN(1,COS(RADIANS(90-F387))*COS(RADIANS(90-M387))+SIN(RADIANS(90-F387))*SIN(RADIANS(90-M387))*COS(RADIANS(G387-N387))))*6371,"N/A")</f>
        <v>N/A</v>
      </c>
      <c r="AM387" s="10" t="str">
        <f>IF(AND(ISNUMBER(F387),ISNUMBER(G387),ISNUMBER(M387),ISNUMBER(N387)),MOD(DEGREES(ATAN2(COS(RADIANS(M387))*SIN(RADIANS(F387))-SIN(RADIANS(M387))*COS(RADIANS(F387))*COS(RADIANS(G387-N387)),SIN(RADIANS(G387-N387))*COS(RADIANS(F387))))+360,360),"N/A")</f>
        <v>N/A</v>
      </c>
      <c r="AN387" s="2"/>
      <c r="AO387" s="2"/>
    </row>
    <row r="388" spans="1:41" x14ac:dyDescent="0.2">
      <c r="A388" s="4" t="s">
        <v>272</v>
      </c>
      <c r="B388" s="4" t="s">
        <v>47</v>
      </c>
      <c r="C388" s="5">
        <v>600</v>
      </c>
      <c r="D388" s="4" t="s">
        <v>32</v>
      </c>
      <c r="E388" s="4" t="s">
        <v>48</v>
      </c>
      <c r="F388" s="15">
        <v>40.931100000000001</v>
      </c>
      <c r="G388" s="15">
        <v>15.605399999999999</v>
      </c>
      <c r="H388" s="16">
        <v>656</v>
      </c>
      <c r="I388" s="4" t="s">
        <v>893</v>
      </c>
      <c r="J388" s="4" t="s">
        <v>15</v>
      </c>
      <c r="K388" s="6">
        <v>40.826999999999998</v>
      </c>
      <c r="L388" s="6">
        <v>14.138999999999999</v>
      </c>
      <c r="M388" s="5" t="s">
        <v>340</v>
      </c>
      <c r="N388" s="5" t="s">
        <v>340</v>
      </c>
      <c r="O388" s="4" t="s">
        <v>232</v>
      </c>
      <c r="P388" s="5" t="s">
        <v>301</v>
      </c>
      <c r="Q388" s="5">
        <v>9999</v>
      </c>
      <c r="R388" s="4" t="s">
        <v>41</v>
      </c>
      <c r="S388" s="4" t="s">
        <v>1121</v>
      </c>
      <c r="T388" s="7">
        <v>11860</v>
      </c>
      <c r="U388" s="7">
        <v>12096</v>
      </c>
      <c r="V388" s="7">
        <v>12396</v>
      </c>
      <c r="W388" s="15" t="s">
        <v>928</v>
      </c>
      <c r="X388" s="21" t="s">
        <v>1357</v>
      </c>
      <c r="Y388" s="7" t="s">
        <v>340</v>
      </c>
      <c r="Z388" s="7" t="s">
        <v>340</v>
      </c>
      <c r="AA388" s="7" t="s">
        <v>340</v>
      </c>
      <c r="AB388" s="5" t="s">
        <v>340</v>
      </c>
      <c r="AC388" s="7">
        <v>12170</v>
      </c>
      <c r="AD388" s="7">
        <v>610</v>
      </c>
      <c r="AE388" s="7">
        <v>12104</v>
      </c>
      <c r="AF388" s="7">
        <v>141</v>
      </c>
      <c r="AG388" s="7" t="s">
        <v>340</v>
      </c>
      <c r="AH388" s="5">
        <v>1</v>
      </c>
      <c r="AI388" s="5">
        <v>1</v>
      </c>
      <c r="AJ388" s="9">
        <f>IF(AND(ISNUMBER(F388),ISNUMBER(G388),ISNUMBER(K388),ISNUMBER(L388)),ACOS(MIN(1,COS(RADIANS(90-F388))*COS(RADIANS(90-K388))+SIN(RADIANS(90-F388))*SIN(RADIANS(90-K388))*COS(RADIANS(G388-L388))))*6371,"N/A")</f>
        <v>123.82638241899673</v>
      </c>
      <c r="AK388" s="10">
        <f>IF(AND(ISNUMBER(F388),ISNUMBER(G388),ISNUMBER(K388),ISNUMBER(L388)),MOD(DEGREES(ATAN2(COS(RADIANS(K388))*SIN(RADIANS(F388))-SIN(RADIANS(K388))*COS(RADIANS(F388))*COS(RADIANS(G388-L388)),SIN(RADIANS(G388-L388))*COS(RADIANS(F388))))+360,360),"N/A")</f>
        <v>84.156599944321783</v>
      </c>
      <c r="AL388" s="10" t="str">
        <f>IF(AND(ISNUMBER(F388),ISNUMBER(G388),ISNUMBER(M388),ISNUMBER(N388)),ACOS(MIN(1,COS(RADIANS(90-F388))*COS(RADIANS(90-M388))+SIN(RADIANS(90-F388))*SIN(RADIANS(90-M388))*COS(RADIANS(G388-N388))))*6371,"N/A")</f>
        <v>N/A</v>
      </c>
      <c r="AM388" s="10" t="str">
        <f>IF(AND(ISNUMBER(F388),ISNUMBER(G388),ISNUMBER(M388),ISNUMBER(N388)),MOD(DEGREES(ATAN2(COS(RADIANS(M388))*SIN(RADIANS(F388))-SIN(RADIANS(M388))*COS(RADIANS(F388))*COS(RADIANS(G388-N388)),SIN(RADIANS(G388-N388))*COS(RADIANS(F388))))+360,360),"N/A")</f>
        <v>N/A</v>
      </c>
      <c r="AN388" s="2"/>
      <c r="AO388" s="2"/>
    </row>
    <row r="389" spans="1:41" x14ac:dyDescent="0.2">
      <c r="A389" s="4" t="s">
        <v>271</v>
      </c>
      <c r="B389" s="4" t="s">
        <v>47</v>
      </c>
      <c r="C389" s="5">
        <v>600</v>
      </c>
      <c r="D389" s="4" t="s">
        <v>32</v>
      </c>
      <c r="E389" s="4" t="s">
        <v>48</v>
      </c>
      <c r="F389" s="15">
        <v>40.931100000000001</v>
      </c>
      <c r="G389" s="15">
        <v>15.605399999999999</v>
      </c>
      <c r="H389" s="16">
        <v>656</v>
      </c>
      <c r="I389" s="4" t="s">
        <v>893</v>
      </c>
      <c r="J389" s="4" t="s">
        <v>15</v>
      </c>
      <c r="K389" s="6">
        <v>40.826999999999998</v>
      </c>
      <c r="L389" s="6">
        <v>14.138999999999999</v>
      </c>
      <c r="M389" s="5" t="s">
        <v>340</v>
      </c>
      <c r="N389" s="5" t="s">
        <v>340</v>
      </c>
      <c r="O389" s="4" t="s">
        <v>232</v>
      </c>
      <c r="P389" s="5" t="s">
        <v>306</v>
      </c>
      <c r="Q389" s="5">
        <v>9999</v>
      </c>
      <c r="R389" s="4" t="s">
        <v>41</v>
      </c>
      <c r="S389" s="4" t="s">
        <v>871</v>
      </c>
      <c r="T389" s="7">
        <v>11860</v>
      </c>
      <c r="U389" s="7">
        <v>12096</v>
      </c>
      <c r="V389" s="7">
        <v>12396</v>
      </c>
      <c r="W389" s="15" t="s">
        <v>928</v>
      </c>
      <c r="X389" s="21" t="s">
        <v>1357</v>
      </c>
      <c r="Y389" s="7" t="s">
        <v>340</v>
      </c>
      <c r="Z389" s="7" t="s">
        <v>340</v>
      </c>
      <c r="AA389" s="7" t="s">
        <v>340</v>
      </c>
      <c r="AB389" s="5" t="s">
        <v>340</v>
      </c>
      <c r="AC389" s="7">
        <v>12180</v>
      </c>
      <c r="AD389" s="7">
        <v>610</v>
      </c>
      <c r="AE389" s="7">
        <v>12104</v>
      </c>
      <c r="AF389" s="7">
        <v>141</v>
      </c>
      <c r="AG389" s="7" t="s">
        <v>340</v>
      </c>
      <c r="AH389" s="5">
        <v>1</v>
      </c>
      <c r="AI389" s="5">
        <v>1</v>
      </c>
      <c r="AJ389" s="9">
        <f>IF(AND(ISNUMBER(F389),ISNUMBER(G389),ISNUMBER(K389),ISNUMBER(L389)),ACOS(MIN(1,COS(RADIANS(90-F389))*COS(RADIANS(90-K389))+SIN(RADIANS(90-F389))*SIN(RADIANS(90-K389))*COS(RADIANS(G389-L389))))*6371,"N/A")</f>
        <v>123.82638241899673</v>
      </c>
      <c r="AK389" s="10">
        <f>IF(AND(ISNUMBER(F389),ISNUMBER(G389),ISNUMBER(K389),ISNUMBER(L389)),MOD(DEGREES(ATAN2(COS(RADIANS(K389))*SIN(RADIANS(F389))-SIN(RADIANS(K389))*COS(RADIANS(F389))*COS(RADIANS(G389-L389)),SIN(RADIANS(G389-L389))*COS(RADIANS(F389))))+360,360),"N/A")</f>
        <v>84.156599944321783</v>
      </c>
      <c r="AL389" s="10" t="str">
        <f>IF(AND(ISNUMBER(F389),ISNUMBER(G389),ISNUMBER(M389),ISNUMBER(N389)),ACOS(MIN(1,COS(RADIANS(90-F389))*COS(RADIANS(90-M389))+SIN(RADIANS(90-F389))*SIN(RADIANS(90-M389))*COS(RADIANS(G389-N389))))*6371,"N/A")</f>
        <v>N/A</v>
      </c>
      <c r="AM389" s="10" t="str">
        <f>IF(AND(ISNUMBER(F389),ISNUMBER(G389),ISNUMBER(M389),ISNUMBER(N389)),MOD(DEGREES(ATAN2(COS(RADIANS(M389))*SIN(RADIANS(F389))-SIN(RADIANS(M389))*COS(RADIANS(F389))*COS(RADIANS(G389-N389)),SIN(RADIANS(G389-N389))*COS(RADIANS(F389))))+360,360),"N/A")</f>
        <v>N/A</v>
      </c>
      <c r="AN389" s="2"/>
      <c r="AO389" s="2"/>
    </row>
    <row r="390" spans="1:41" x14ac:dyDescent="0.2">
      <c r="A390" s="4" t="s">
        <v>273</v>
      </c>
      <c r="B390" s="4" t="s">
        <v>47</v>
      </c>
      <c r="C390" s="5">
        <v>600</v>
      </c>
      <c r="D390" s="4" t="s">
        <v>32</v>
      </c>
      <c r="E390" s="4" t="s">
        <v>48</v>
      </c>
      <c r="F390" s="15">
        <v>40.931100000000001</v>
      </c>
      <c r="G390" s="15">
        <v>15.605399999999999</v>
      </c>
      <c r="H390" s="16">
        <v>656</v>
      </c>
      <c r="I390" s="4" t="s">
        <v>893</v>
      </c>
      <c r="J390" s="4" t="s">
        <v>15</v>
      </c>
      <c r="K390" s="6">
        <v>40.826999999999998</v>
      </c>
      <c r="L390" s="6">
        <v>14.138999999999999</v>
      </c>
      <c r="M390" s="5" t="s">
        <v>340</v>
      </c>
      <c r="N390" s="5" t="s">
        <v>340</v>
      </c>
      <c r="O390" s="4" t="s">
        <v>326</v>
      </c>
      <c r="P390" s="5">
        <v>8</v>
      </c>
      <c r="Q390" s="5">
        <v>9999</v>
      </c>
      <c r="R390" s="4" t="s">
        <v>41</v>
      </c>
      <c r="S390" s="4" t="s">
        <v>1121</v>
      </c>
      <c r="T390" s="7">
        <v>11209</v>
      </c>
      <c r="U390" s="7">
        <v>11611</v>
      </c>
      <c r="V390" s="7">
        <v>12009</v>
      </c>
      <c r="W390" s="15" t="s">
        <v>928</v>
      </c>
      <c r="X390" s="15" t="s">
        <v>1368</v>
      </c>
      <c r="Y390" s="7" t="s">
        <v>340</v>
      </c>
      <c r="Z390" s="7" t="s">
        <v>340</v>
      </c>
      <c r="AA390" s="7" t="s">
        <v>340</v>
      </c>
      <c r="AB390" s="5" t="s">
        <v>340</v>
      </c>
      <c r="AC390" s="7">
        <v>11980</v>
      </c>
      <c r="AD390" s="7">
        <v>600</v>
      </c>
      <c r="AE390" s="7">
        <v>11609</v>
      </c>
      <c r="AF390" s="7">
        <v>200</v>
      </c>
      <c r="AG390" s="7" t="s">
        <v>340</v>
      </c>
      <c r="AH390" s="5">
        <v>1</v>
      </c>
      <c r="AI390" s="5">
        <v>1</v>
      </c>
      <c r="AJ390" s="9">
        <f>IF(AND(ISNUMBER(F390),ISNUMBER(G390),ISNUMBER(K390),ISNUMBER(L390)),ACOS(MIN(1,COS(RADIANS(90-F390))*COS(RADIANS(90-K390))+SIN(RADIANS(90-F390))*SIN(RADIANS(90-K390))*COS(RADIANS(G390-L390))))*6371,"N/A")</f>
        <v>123.82638241899673</v>
      </c>
      <c r="AK390" s="10">
        <f>IF(AND(ISNUMBER(F390),ISNUMBER(G390),ISNUMBER(K390),ISNUMBER(L390)),MOD(DEGREES(ATAN2(COS(RADIANS(K390))*SIN(RADIANS(F390))-SIN(RADIANS(K390))*COS(RADIANS(F390))*COS(RADIANS(G390-L390)),SIN(RADIANS(G390-L390))*COS(RADIANS(F390))))+360,360),"N/A")</f>
        <v>84.156599944321783</v>
      </c>
      <c r="AL390" s="10" t="str">
        <f>IF(AND(ISNUMBER(F390),ISNUMBER(G390),ISNUMBER(M390),ISNUMBER(N390)),ACOS(MIN(1,COS(RADIANS(90-F390))*COS(RADIANS(90-M390))+SIN(RADIANS(90-F390))*SIN(RADIANS(90-M390))*COS(RADIANS(G390-N390))))*6371,"N/A")</f>
        <v>N/A</v>
      </c>
      <c r="AM390" s="10" t="str">
        <f>IF(AND(ISNUMBER(F390),ISNUMBER(G390),ISNUMBER(M390),ISNUMBER(N390)),MOD(DEGREES(ATAN2(COS(RADIANS(M390))*SIN(RADIANS(F390))-SIN(RADIANS(M390))*COS(RADIANS(F390))*COS(RADIANS(G390-N390)),SIN(RADIANS(G390-N390))*COS(RADIANS(F390))))+360,360),"N/A")</f>
        <v>N/A</v>
      </c>
      <c r="AN390" s="2"/>
      <c r="AO390" s="2"/>
    </row>
    <row r="391" spans="1:41" x14ac:dyDescent="0.2">
      <c r="A391" s="4" t="s">
        <v>275</v>
      </c>
      <c r="B391" s="4" t="s">
        <v>47</v>
      </c>
      <c r="C391" s="5">
        <v>600</v>
      </c>
      <c r="D391" s="4" t="s">
        <v>32</v>
      </c>
      <c r="E391" s="4" t="s">
        <v>48</v>
      </c>
      <c r="F391" s="15">
        <v>40.931100000000001</v>
      </c>
      <c r="G391" s="15">
        <v>15.605399999999999</v>
      </c>
      <c r="H391" s="16">
        <v>656</v>
      </c>
      <c r="I391" s="4" t="s">
        <v>893</v>
      </c>
      <c r="J391" s="4" t="s">
        <v>15</v>
      </c>
      <c r="K391" s="6">
        <v>40.826999999999998</v>
      </c>
      <c r="L391" s="6">
        <v>14.138999999999999</v>
      </c>
      <c r="M391" s="5" t="s">
        <v>340</v>
      </c>
      <c r="N391" s="5" t="s">
        <v>340</v>
      </c>
      <c r="O391" s="4" t="s">
        <v>325</v>
      </c>
      <c r="P391" s="5">
        <v>12</v>
      </c>
      <c r="Q391" s="5">
        <v>9999</v>
      </c>
      <c r="R391" s="4" t="s">
        <v>41</v>
      </c>
      <c r="S391" s="4" t="s">
        <v>1121</v>
      </c>
      <c r="T391" s="12">
        <v>10923</v>
      </c>
      <c r="U391" s="7">
        <v>11305</v>
      </c>
      <c r="V391" s="12">
        <v>11712</v>
      </c>
      <c r="W391" s="15" t="s">
        <v>928</v>
      </c>
      <c r="X391" s="15" t="s">
        <v>1368</v>
      </c>
      <c r="Y391" s="7" t="s">
        <v>340</v>
      </c>
      <c r="Z391" s="7" t="s">
        <v>340</v>
      </c>
      <c r="AA391" s="7" t="s">
        <v>340</v>
      </c>
      <c r="AB391" s="5" t="s">
        <v>340</v>
      </c>
      <c r="AC391" s="7">
        <v>11670</v>
      </c>
      <c r="AD391" s="7">
        <v>580</v>
      </c>
      <c r="AE391" s="7">
        <v>11311</v>
      </c>
      <c r="AF391" s="7">
        <v>200</v>
      </c>
      <c r="AG391" s="7" t="s">
        <v>340</v>
      </c>
      <c r="AH391" s="5">
        <v>1</v>
      </c>
      <c r="AI391" s="5">
        <v>1</v>
      </c>
      <c r="AJ391" s="9">
        <f>IF(AND(ISNUMBER(F391),ISNUMBER(G391),ISNUMBER(K391),ISNUMBER(L391)),ACOS(MIN(1,COS(RADIANS(90-F391))*COS(RADIANS(90-K391))+SIN(RADIANS(90-F391))*SIN(RADIANS(90-K391))*COS(RADIANS(G391-L391))))*6371,"N/A")</f>
        <v>123.82638241899673</v>
      </c>
      <c r="AK391" s="10">
        <f>IF(AND(ISNUMBER(F391),ISNUMBER(G391),ISNUMBER(K391),ISNUMBER(L391)),MOD(DEGREES(ATAN2(COS(RADIANS(K391))*SIN(RADIANS(F391))-SIN(RADIANS(K391))*COS(RADIANS(F391))*COS(RADIANS(G391-L391)),SIN(RADIANS(G391-L391))*COS(RADIANS(F391))))+360,360),"N/A")</f>
        <v>84.156599944321783</v>
      </c>
      <c r="AL391" s="10" t="str">
        <f>IF(AND(ISNUMBER(F391),ISNUMBER(G391),ISNUMBER(M391),ISNUMBER(N391)),ACOS(MIN(1,COS(RADIANS(90-F391))*COS(RADIANS(90-M391))+SIN(RADIANS(90-F391))*SIN(RADIANS(90-M391))*COS(RADIANS(G391-N391))))*6371,"N/A")</f>
        <v>N/A</v>
      </c>
      <c r="AM391" s="10" t="str">
        <f>IF(AND(ISNUMBER(F391),ISNUMBER(G391),ISNUMBER(M391),ISNUMBER(N391)),MOD(DEGREES(ATAN2(COS(RADIANS(M391))*SIN(RADIANS(F391))-SIN(RADIANS(M391))*COS(RADIANS(F391))*COS(RADIANS(G391-N391)),SIN(RADIANS(G391-N391))*COS(RADIANS(F391))))+360,360),"N/A")</f>
        <v>N/A</v>
      </c>
      <c r="AN391" s="2"/>
      <c r="AO391" s="2"/>
    </row>
    <row r="392" spans="1:41" x14ac:dyDescent="0.2">
      <c r="A392" s="4" t="s">
        <v>266</v>
      </c>
      <c r="B392" s="4" t="s">
        <v>47</v>
      </c>
      <c r="C392" s="5">
        <v>600</v>
      </c>
      <c r="D392" s="4" t="s">
        <v>32</v>
      </c>
      <c r="E392" s="4" t="s">
        <v>48</v>
      </c>
      <c r="F392" s="15">
        <v>40.931100000000001</v>
      </c>
      <c r="G392" s="15">
        <v>15.605399999999999</v>
      </c>
      <c r="H392" s="16">
        <v>656</v>
      </c>
      <c r="I392" s="4" t="s">
        <v>893</v>
      </c>
      <c r="J392" s="4" t="s">
        <v>15</v>
      </c>
      <c r="K392" s="6">
        <v>40.826999999999998</v>
      </c>
      <c r="L392" s="6">
        <v>14.138999999999999</v>
      </c>
      <c r="M392" s="5" t="s">
        <v>340</v>
      </c>
      <c r="N392" s="5" t="s">
        <v>340</v>
      </c>
      <c r="O392" s="4" t="s">
        <v>548</v>
      </c>
      <c r="P392" s="5" t="s">
        <v>156</v>
      </c>
      <c r="Q392" s="5">
        <v>9999</v>
      </c>
      <c r="R392" s="4" t="s">
        <v>41</v>
      </c>
      <c r="S392" s="4" t="s">
        <v>1121</v>
      </c>
      <c r="T392" s="7">
        <v>14670</v>
      </c>
      <c r="U392" s="7">
        <v>14967</v>
      </c>
      <c r="V392" s="7">
        <v>15227</v>
      </c>
      <c r="W392" s="15" t="s">
        <v>1354</v>
      </c>
      <c r="X392" s="21" t="s">
        <v>1050</v>
      </c>
      <c r="Y392" s="7">
        <v>12870</v>
      </c>
      <c r="Z392" s="7">
        <v>100</v>
      </c>
      <c r="AA392" s="7" t="s">
        <v>340</v>
      </c>
      <c r="AB392" s="5" t="s">
        <v>340</v>
      </c>
      <c r="AC392" s="7">
        <v>14560</v>
      </c>
      <c r="AD392" s="7">
        <v>730</v>
      </c>
      <c r="AE392" s="7">
        <v>14967</v>
      </c>
      <c r="AF392" s="7" t="s">
        <v>950</v>
      </c>
      <c r="AG392" s="7" t="s">
        <v>340</v>
      </c>
      <c r="AH392" s="5">
        <v>1</v>
      </c>
      <c r="AI392" s="5">
        <v>1</v>
      </c>
      <c r="AJ392" s="9">
        <f>IF(AND(ISNUMBER(F392),ISNUMBER(G392),ISNUMBER(K392),ISNUMBER(L392)),ACOS(MIN(1,COS(RADIANS(90-F392))*COS(RADIANS(90-K392))+SIN(RADIANS(90-F392))*SIN(RADIANS(90-K392))*COS(RADIANS(G392-L392))))*6371,"N/A")</f>
        <v>123.82638241899673</v>
      </c>
      <c r="AK392" s="10">
        <f>IF(AND(ISNUMBER(F392),ISNUMBER(G392),ISNUMBER(K392),ISNUMBER(L392)),MOD(DEGREES(ATAN2(COS(RADIANS(K392))*SIN(RADIANS(F392))-SIN(RADIANS(K392))*COS(RADIANS(F392))*COS(RADIANS(G392-L392)),SIN(RADIANS(G392-L392))*COS(RADIANS(F392))))+360,360),"N/A")</f>
        <v>84.156599944321783</v>
      </c>
      <c r="AL392" s="10" t="str">
        <f>IF(AND(ISNUMBER(F392),ISNUMBER(G392),ISNUMBER(M392),ISNUMBER(N392)),ACOS(MIN(1,COS(RADIANS(90-F392))*COS(RADIANS(90-M392))+SIN(RADIANS(90-F392))*SIN(RADIANS(90-M392))*COS(RADIANS(G392-N392))))*6371,"N/A")</f>
        <v>N/A</v>
      </c>
      <c r="AM392" s="10" t="str">
        <f>IF(AND(ISNUMBER(F392),ISNUMBER(G392),ISNUMBER(M392),ISNUMBER(N392)),MOD(DEGREES(ATAN2(COS(RADIANS(M392))*SIN(RADIANS(F392))-SIN(RADIANS(M392))*COS(RADIANS(F392))*COS(RADIANS(G392-N392)),SIN(RADIANS(G392-N392))*COS(RADIANS(F392))))+360,360),"N/A")</f>
        <v>N/A</v>
      </c>
      <c r="AN392" s="2"/>
      <c r="AO392" s="2"/>
    </row>
    <row r="393" spans="1:41" x14ac:dyDescent="0.2">
      <c r="A393" s="4" t="s">
        <v>261</v>
      </c>
      <c r="B393" s="4" t="s">
        <v>47</v>
      </c>
      <c r="C393" s="5">
        <v>600</v>
      </c>
      <c r="D393" s="4" t="s">
        <v>32</v>
      </c>
      <c r="E393" s="4" t="s">
        <v>48</v>
      </c>
      <c r="F393" s="15">
        <v>40.931100000000001</v>
      </c>
      <c r="G393" s="15">
        <v>15.605399999999999</v>
      </c>
      <c r="H393" s="16">
        <v>656</v>
      </c>
      <c r="I393" s="4" t="s">
        <v>893</v>
      </c>
      <c r="J393" s="4" t="s">
        <v>42</v>
      </c>
      <c r="K393" s="6">
        <v>37.747999999999998</v>
      </c>
      <c r="L393" s="6">
        <v>14.999000000000001</v>
      </c>
      <c r="M393" s="5" t="s">
        <v>340</v>
      </c>
      <c r="N393" s="5" t="s">
        <v>340</v>
      </c>
      <c r="O393" s="4" t="s">
        <v>330</v>
      </c>
      <c r="P393" s="5">
        <v>4</v>
      </c>
      <c r="Q393" s="5">
        <v>9999</v>
      </c>
      <c r="R393" s="4" t="s">
        <v>41</v>
      </c>
      <c r="S393" s="4" t="s">
        <v>1121</v>
      </c>
      <c r="T393" s="12">
        <v>17080</v>
      </c>
      <c r="U393" s="12">
        <v>17980</v>
      </c>
      <c r="V393" s="12">
        <v>18880</v>
      </c>
      <c r="W393" s="21" t="s">
        <v>547</v>
      </c>
      <c r="X393" s="21" t="s">
        <v>312</v>
      </c>
      <c r="Y393" s="7" t="s">
        <v>340</v>
      </c>
      <c r="Z393" s="7" t="s">
        <v>340</v>
      </c>
      <c r="AA393" s="7" t="s">
        <v>340</v>
      </c>
      <c r="AB393" s="5" t="s">
        <v>340</v>
      </c>
      <c r="AC393" s="7">
        <v>17980</v>
      </c>
      <c r="AD393" s="7">
        <v>900</v>
      </c>
      <c r="AE393" s="7" t="s">
        <v>340</v>
      </c>
      <c r="AF393" s="7" t="s">
        <v>340</v>
      </c>
      <c r="AG393" s="7" t="s">
        <v>340</v>
      </c>
      <c r="AH393" s="5">
        <v>1</v>
      </c>
      <c r="AI393" s="5">
        <v>1</v>
      </c>
      <c r="AJ393" s="9">
        <f>IF(AND(ISNUMBER(F393),ISNUMBER(G393),ISNUMBER(K393),ISNUMBER(L393)),ACOS(MIN(1,COS(RADIANS(90-F393))*COS(RADIANS(90-K393))+SIN(RADIANS(90-F393))*SIN(RADIANS(90-K393))*COS(RADIANS(G393-L393))))*6371,"N/A")</f>
        <v>357.76278023348448</v>
      </c>
      <c r="AK393" s="10">
        <f>IF(AND(ISNUMBER(F393),ISNUMBER(G393),ISNUMBER(K393),ISNUMBER(L393)),MOD(DEGREES(ATAN2(COS(RADIANS(K393))*SIN(RADIANS(F393))-SIN(RADIANS(K393))*COS(RADIANS(F393))*COS(RADIANS(G393-L393)),SIN(RADIANS(G393-L393))*COS(RADIANS(F393))))+360,360),"N/A")</f>
        <v>8.1904019632667087</v>
      </c>
      <c r="AL393" s="10" t="str">
        <f>IF(AND(ISNUMBER(F393),ISNUMBER(G393),ISNUMBER(M393),ISNUMBER(N393)),ACOS(MIN(1,COS(RADIANS(90-F393))*COS(RADIANS(90-M393))+SIN(RADIANS(90-F393))*SIN(RADIANS(90-M393))*COS(RADIANS(G393-N393))))*6371,"N/A")</f>
        <v>N/A</v>
      </c>
      <c r="AM393" s="10" t="str">
        <f>IF(AND(ISNUMBER(F393),ISNUMBER(G393),ISNUMBER(M393),ISNUMBER(N393)),MOD(DEGREES(ATAN2(COS(RADIANS(M393))*SIN(RADIANS(F393))-SIN(RADIANS(M393))*COS(RADIANS(F393))*COS(RADIANS(G393-N393)),SIN(RADIANS(G393-N393))*COS(RADIANS(F393))))+360,360),"N/A")</f>
        <v>N/A</v>
      </c>
      <c r="AN393" s="2"/>
      <c r="AO393" s="2"/>
    </row>
    <row r="394" spans="1:41" x14ac:dyDescent="0.2">
      <c r="A394" s="4" t="s">
        <v>279</v>
      </c>
      <c r="B394" s="4" t="s">
        <v>47</v>
      </c>
      <c r="C394" s="5">
        <v>600</v>
      </c>
      <c r="D394" s="4" t="s">
        <v>32</v>
      </c>
      <c r="E394" s="4" t="s">
        <v>48</v>
      </c>
      <c r="F394" s="15">
        <v>40.931100000000001</v>
      </c>
      <c r="G394" s="15">
        <v>15.605399999999999</v>
      </c>
      <c r="H394" s="16">
        <v>656</v>
      </c>
      <c r="I394" s="4" t="s">
        <v>893</v>
      </c>
      <c r="J394" s="4" t="s">
        <v>150</v>
      </c>
      <c r="K394" s="6">
        <v>40.729999999999997</v>
      </c>
      <c r="L394" s="6">
        <v>13.897</v>
      </c>
      <c r="M394" s="5" t="s">
        <v>340</v>
      </c>
      <c r="N394" s="5" t="s">
        <v>340</v>
      </c>
      <c r="O394" s="4" t="s">
        <v>318</v>
      </c>
      <c r="P394" s="5">
        <v>13</v>
      </c>
      <c r="Q394" s="5">
        <v>9999</v>
      </c>
      <c r="R394" s="4" t="s">
        <v>41</v>
      </c>
      <c r="S394" s="4" t="s">
        <v>1121</v>
      </c>
      <c r="T394" s="12">
        <v>6790</v>
      </c>
      <c r="U394" s="12">
        <v>7150</v>
      </c>
      <c r="V394" s="12">
        <v>7510</v>
      </c>
      <c r="W394" s="21" t="s">
        <v>888</v>
      </c>
      <c r="X394" s="21" t="s">
        <v>312</v>
      </c>
      <c r="Y394" s="7" t="s">
        <v>340</v>
      </c>
      <c r="Z394" s="7" t="s">
        <v>340</v>
      </c>
      <c r="AA394" s="7" t="s">
        <v>340</v>
      </c>
      <c r="AB394" s="5" t="s">
        <v>340</v>
      </c>
      <c r="AC394" s="7">
        <v>7150</v>
      </c>
      <c r="AD394" s="7">
        <v>360</v>
      </c>
      <c r="AE394" s="7" t="s">
        <v>340</v>
      </c>
      <c r="AF394" s="7" t="s">
        <v>340</v>
      </c>
      <c r="AG394" s="7" t="s">
        <v>340</v>
      </c>
      <c r="AH394" s="5">
        <v>1</v>
      </c>
      <c r="AI394" s="5">
        <v>1</v>
      </c>
      <c r="AJ394" s="9">
        <f>IF(AND(ISNUMBER(F394),ISNUMBER(G394),ISNUMBER(K394),ISNUMBER(L394)),ACOS(MIN(1,COS(RADIANS(90-F394))*COS(RADIANS(90-K394))+SIN(RADIANS(90-F394))*SIN(RADIANS(90-K394))*COS(RADIANS(G394-L394))))*6371,"N/A")</f>
        <v>145.4631770282312</v>
      </c>
      <c r="AK394" s="10">
        <f>IF(AND(ISNUMBER(F394),ISNUMBER(G394),ISNUMBER(K394),ISNUMBER(L394)),MOD(DEGREES(ATAN2(COS(RADIANS(K394))*SIN(RADIANS(F394))-SIN(RADIANS(K394))*COS(RADIANS(F394))*COS(RADIANS(G394-L394)),SIN(RADIANS(G394-L394))*COS(RADIANS(F394))))+360,360),"N/A")</f>
        <v>80.599433334981825</v>
      </c>
      <c r="AL394" s="10" t="str">
        <f>IF(AND(ISNUMBER(F394),ISNUMBER(G394),ISNUMBER(M394),ISNUMBER(N394)),ACOS(MIN(1,COS(RADIANS(90-F394))*COS(RADIANS(90-M394))+SIN(RADIANS(90-F394))*SIN(RADIANS(90-M394))*COS(RADIANS(G394-N394))))*6371,"N/A")</f>
        <v>N/A</v>
      </c>
      <c r="AM394" s="10" t="str">
        <f>IF(AND(ISNUMBER(F394),ISNUMBER(G394),ISNUMBER(M394),ISNUMBER(N394)),MOD(DEGREES(ATAN2(COS(RADIANS(M394))*SIN(RADIANS(F394))-SIN(RADIANS(M394))*COS(RADIANS(F394))*COS(RADIANS(G394-N394)),SIN(RADIANS(G394-N394))*COS(RADIANS(F394))))+360,360),"N/A")</f>
        <v>N/A</v>
      </c>
      <c r="AN394" s="2"/>
      <c r="AO394" s="2"/>
    </row>
    <row r="395" spans="1:41" x14ac:dyDescent="0.2">
      <c r="A395" s="4" t="s">
        <v>316</v>
      </c>
      <c r="B395" s="4" t="s">
        <v>47</v>
      </c>
      <c r="C395" s="5">
        <v>600</v>
      </c>
      <c r="D395" s="4" t="s">
        <v>32</v>
      </c>
      <c r="E395" s="4" t="s">
        <v>48</v>
      </c>
      <c r="F395" s="15">
        <v>40.931100000000001</v>
      </c>
      <c r="G395" s="15">
        <v>15.605399999999999</v>
      </c>
      <c r="H395" s="16">
        <v>656</v>
      </c>
      <c r="I395" s="4" t="s">
        <v>893</v>
      </c>
      <c r="J395" s="4" t="s">
        <v>150</v>
      </c>
      <c r="K395" s="6">
        <v>40.729999999999997</v>
      </c>
      <c r="L395" s="6">
        <v>13.897</v>
      </c>
      <c r="M395" s="5" t="s">
        <v>340</v>
      </c>
      <c r="N395" s="5" t="s">
        <v>340</v>
      </c>
      <c r="O395" s="4" t="s">
        <v>317</v>
      </c>
      <c r="P395" s="5" t="s">
        <v>303</v>
      </c>
      <c r="Q395" s="5">
        <v>9999</v>
      </c>
      <c r="R395" s="4" t="s">
        <v>41</v>
      </c>
      <c r="S395" s="4" t="s">
        <v>1121</v>
      </c>
      <c r="T395" s="12">
        <v>6260</v>
      </c>
      <c r="U395" s="12">
        <v>6590</v>
      </c>
      <c r="V395" s="12">
        <v>6920</v>
      </c>
      <c r="W395" s="21" t="s">
        <v>547</v>
      </c>
      <c r="X395" s="21" t="s">
        <v>312</v>
      </c>
      <c r="Y395" s="7" t="s">
        <v>340</v>
      </c>
      <c r="Z395" s="7" t="s">
        <v>340</v>
      </c>
      <c r="AA395" s="7" t="s">
        <v>340</v>
      </c>
      <c r="AB395" s="5" t="s">
        <v>340</v>
      </c>
      <c r="AC395" s="12">
        <v>6590</v>
      </c>
      <c r="AD395" s="7">
        <v>330</v>
      </c>
      <c r="AE395" s="7" t="s">
        <v>340</v>
      </c>
      <c r="AF395" s="7" t="s">
        <v>340</v>
      </c>
      <c r="AG395" s="7" t="s">
        <v>340</v>
      </c>
      <c r="AH395" s="5">
        <v>1</v>
      </c>
      <c r="AI395" s="5">
        <v>1</v>
      </c>
      <c r="AJ395" s="9">
        <f>IF(AND(ISNUMBER(F395),ISNUMBER(G395),ISNUMBER(K395),ISNUMBER(L395)),ACOS(MIN(1,COS(RADIANS(90-F395))*COS(RADIANS(90-K395))+SIN(RADIANS(90-F395))*SIN(RADIANS(90-K395))*COS(RADIANS(G395-L395))))*6371,"N/A")</f>
        <v>145.4631770282312</v>
      </c>
      <c r="AK395" s="10">
        <f>IF(AND(ISNUMBER(F395),ISNUMBER(G395),ISNUMBER(K395),ISNUMBER(L395)),MOD(DEGREES(ATAN2(COS(RADIANS(K395))*SIN(RADIANS(F395))-SIN(RADIANS(K395))*COS(RADIANS(F395))*COS(RADIANS(G395-L395)),SIN(RADIANS(G395-L395))*COS(RADIANS(F395))))+360,360),"N/A")</f>
        <v>80.599433334981825</v>
      </c>
      <c r="AL395" s="10" t="str">
        <f>IF(AND(ISNUMBER(F395),ISNUMBER(G395),ISNUMBER(M395),ISNUMBER(N395)),ACOS(MIN(1,COS(RADIANS(90-F395))*COS(RADIANS(90-M395))+SIN(RADIANS(90-F395))*SIN(RADIANS(90-M395))*COS(RADIANS(G395-N395))))*6371,"N/A")</f>
        <v>N/A</v>
      </c>
      <c r="AM395" s="10" t="str">
        <f>IF(AND(ISNUMBER(F395),ISNUMBER(G395),ISNUMBER(M395),ISNUMBER(N395)),MOD(DEGREES(ATAN2(COS(RADIANS(M395))*SIN(RADIANS(F395))-SIN(RADIANS(M395))*COS(RADIANS(F395))*COS(RADIANS(G395-N395)),SIN(RADIANS(G395-N395))*COS(RADIANS(F395))))+360,360),"N/A")</f>
        <v>N/A</v>
      </c>
      <c r="AN395" s="2"/>
      <c r="AO395" s="2"/>
    </row>
    <row r="396" spans="1:41" x14ac:dyDescent="0.2">
      <c r="A396" s="4" t="s">
        <v>323</v>
      </c>
      <c r="B396" s="4" t="s">
        <v>47</v>
      </c>
      <c r="C396" s="5">
        <v>600</v>
      </c>
      <c r="D396" s="4" t="s">
        <v>32</v>
      </c>
      <c r="E396" s="4" t="s">
        <v>48</v>
      </c>
      <c r="F396" s="15">
        <v>40.931100000000001</v>
      </c>
      <c r="G396" s="15">
        <v>15.605399999999999</v>
      </c>
      <c r="H396" s="16">
        <v>656</v>
      </c>
      <c r="I396" s="4" t="s">
        <v>893</v>
      </c>
      <c r="J396" s="4" t="s">
        <v>150</v>
      </c>
      <c r="K396" s="6">
        <v>40.729999999999997</v>
      </c>
      <c r="L396" s="6">
        <v>13.897</v>
      </c>
      <c r="M396" s="5" t="s">
        <v>340</v>
      </c>
      <c r="N396" s="5" t="s">
        <v>340</v>
      </c>
      <c r="O396" s="4" t="s">
        <v>14</v>
      </c>
      <c r="P396" s="5" t="s">
        <v>324</v>
      </c>
      <c r="Q396" s="5">
        <v>9999</v>
      </c>
      <c r="R396" s="4" t="s">
        <v>41</v>
      </c>
      <c r="S396" s="4" t="s">
        <v>1121</v>
      </c>
      <c r="T396" s="12">
        <v>10940</v>
      </c>
      <c r="U396" s="12">
        <v>11520</v>
      </c>
      <c r="V396" s="12">
        <v>12100</v>
      </c>
      <c r="W396" s="21" t="s">
        <v>547</v>
      </c>
      <c r="X396" s="21" t="s">
        <v>312</v>
      </c>
      <c r="Y396" s="7" t="s">
        <v>340</v>
      </c>
      <c r="Z396" s="7" t="s">
        <v>340</v>
      </c>
      <c r="AA396" s="7" t="s">
        <v>340</v>
      </c>
      <c r="AB396" s="5" t="s">
        <v>340</v>
      </c>
      <c r="AC396" s="12">
        <v>11520</v>
      </c>
      <c r="AD396" s="7">
        <v>580</v>
      </c>
      <c r="AE396" s="7" t="s">
        <v>340</v>
      </c>
      <c r="AF396" s="7" t="s">
        <v>340</v>
      </c>
      <c r="AG396" s="7" t="s">
        <v>340</v>
      </c>
      <c r="AH396" s="5">
        <v>1</v>
      </c>
      <c r="AI396" s="5">
        <v>1</v>
      </c>
      <c r="AJ396" s="9">
        <f>IF(AND(ISNUMBER(F396),ISNUMBER(G396),ISNUMBER(K396),ISNUMBER(L396)),ACOS(MIN(1,COS(RADIANS(90-F396))*COS(RADIANS(90-K396))+SIN(RADIANS(90-F396))*SIN(RADIANS(90-K396))*COS(RADIANS(G396-L396))))*6371,"N/A")</f>
        <v>145.4631770282312</v>
      </c>
      <c r="AK396" s="10">
        <f>IF(AND(ISNUMBER(F396),ISNUMBER(G396),ISNUMBER(K396),ISNUMBER(L396)),MOD(DEGREES(ATAN2(COS(RADIANS(K396))*SIN(RADIANS(F396))-SIN(RADIANS(K396))*COS(RADIANS(F396))*COS(RADIANS(G396-L396)),SIN(RADIANS(G396-L396))*COS(RADIANS(F396))))+360,360),"N/A")</f>
        <v>80.599433334981825</v>
      </c>
      <c r="AL396" s="10" t="str">
        <f>IF(AND(ISNUMBER(F396),ISNUMBER(G396),ISNUMBER(M396),ISNUMBER(N396)),ACOS(MIN(1,COS(RADIANS(90-F396))*COS(RADIANS(90-M396))+SIN(RADIANS(90-F396))*SIN(RADIANS(90-M396))*COS(RADIANS(G396-N396))))*6371,"N/A")</f>
        <v>N/A</v>
      </c>
      <c r="AM396" s="10" t="str">
        <f>IF(AND(ISNUMBER(F396),ISNUMBER(G396),ISNUMBER(M396),ISNUMBER(N396)),MOD(DEGREES(ATAN2(COS(RADIANS(M396))*SIN(RADIANS(F396))-SIN(RADIANS(M396))*COS(RADIANS(F396))*COS(RADIANS(G396-N396)),SIN(RADIANS(G396-N396))*COS(RADIANS(F396))))+360,360),"N/A")</f>
        <v>N/A</v>
      </c>
      <c r="AN396" s="2"/>
      <c r="AO396" s="2"/>
    </row>
    <row r="397" spans="1:41" x14ac:dyDescent="0.2">
      <c r="A397" s="4" t="s">
        <v>268</v>
      </c>
      <c r="B397" s="4" t="s">
        <v>47</v>
      </c>
      <c r="C397" s="5">
        <v>600</v>
      </c>
      <c r="D397" s="4" t="s">
        <v>32</v>
      </c>
      <c r="E397" s="4" t="s">
        <v>48</v>
      </c>
      <c r="F397" s="15">
        <v>40.931100000000001</v>
      </c>
      <c r="G397" s="15">
        <v>15.605399999999999</v>
      </c>
      <c r="H397" s="16">
        <v>656</v>
      </c>
      <c r="I397" s="4" t="s">
        <v>893</v>
      </c>
      <c r="J397" s="4" t="s">
        <v>150</v>
      </c>
      <c r="K397" s="6">
        <v>40.729999999999997</v>
      </c>
      <c r="L397" s="6">
        <v>13.897</v>
      </c>
      <c r="M397" s="5" t="s">
        <v>340</v>
      </c>
      <c r="N397" s="5" t="s">
        <v>340</v>
      </c>
      <c r="O397" s="4" t="s">
        <v>438</v>
      </c>
      <c r="P397" s="5" t="s">
        <v>157</v>
      </c>
      <c r="Q397" s="5">
        <v>9999</v>
      </c>
      <c r="R397" s="4" t="s">
        <v>41</v>
      </c>
      <c r="S397" s="4" t="s">
        <v>1121</v>
      </c>
      <c r="T397" s="12">
        <v>12510</v>
      </c>
      <c r="U397" s="12">
        <v>13170</v>
      </c>
      <c r="V397" s="12">
        <v>13830</v>
      </c>
      <c r="W397" s="21" t="s">
        <v>547</v>
      </c>
      <c r="X397" s="21" t="s">
        <v>312</v>
      </c>
      <c r="Y397" s="7" t="s">
        <v>340</v>
      </c>
      <c r="Z397" s="7" t="s">
        <v>340</v>
      </c>
      <c r="AA397" s="7" t="s">
        <v>340</v>
      </c>
      <c r="AB397" s="5" t="s">
        <v>340</v>
      </c>
      <c r="AC397" s="12">
        <v>13170</v>
      </c>
      <c r="AD397" s="7">
        <v>660</v>
      </c>
      <c r="AE397" s="7" t="s">
        <v>340</v>
      </c>
      <c r="AF397" s="7" t="s">
        <v>340</v>
      </c>
      <c r="AG397" s="7" t="s">
        <v>340</v>
      </c>
      <c r="AH397" s="5">
        <v>1</v>
      </c>
      <c r="AI397" s="5">
        <v>1</v>
      </c>
      <c r="AJ397" s="9">
        <f>IF(AND(ISNUMBER(F397),ISNUMBER(G397),ISNUMBER(K397),ISNUMBER(L397)),ACOS(MIN(1,COS(RADIANS(90-F397))*COS(RADIANS(90-K397))+SIN(RADIANS(90-F397))*SIN(RADIANS(90-K397))*COS(RADIANS(G397-L397))))*6371,"N/A")</f>
        <v>145.4631770282312</v>
      </c>
      <c r="AK397" s="10">
        <f>IF(AND(ISNUMBER(F397),ISNUMBER(G397),ISNUMBER(K397),ISNUMBER(L397)),MOD(DEGREES(ATAN2(COS(RADIANS(K397))*SIN(RADIANS(F397))-SIN(RADIANS(K397))*COS(RADIANS(F397))*COS(RADIANS(G397-L397)),SIN(RADIANS(G397-L397))*COS(RADIANS(F397))))+360,360),"N/A")</f>
        <v>80.599433334981825</v>
      </c>
      <c r="AL397" s="10" t="str">
        <f>IF(AND(ISNUMBER(F397),ISNUMBER(G397),ISNUMBER(M397),ISNUMBER(N397)),ACOS(MIN(1,COS(RADIANS(90-F397))*COS(RADIANS(90-M397))+SIN(RADIANS(90-F397))*SIN(RADIANS(90-M397))*COS(RADIANS(G397-N397))))*6371,"N/A")</f>
        <v>N/A</v>
      </c>
      <c r="AM397" s="10" t="str">
        <f>IF(AND(ISNUMBER(F397),ISNUMBER(G397),ISNUMBER(M397),ISNUMBER(N397)),MOD(DEGREES(ATAN2(COS(RADIANS(M397))*SIN(RADIANS(F397))-SIN(RADIANS(M397))*COS(RADIANS(F397))*COS(RADIANS(G397-N397)),SIN(RADIANS(G397-N397))*COS(RADIANS(F397))))+360,360),"N/A")</f>
        <v>N/A</v>
      </c>
      <c r="AN397" s="2"/>
      <c r="AO397" s="2"/>
    </row>
    <row r="398" spans="1:41" x14ac:dyDescent="0.2">
      <c r="A398" s="4" t="s">
        <v>308</v>
      </c>
      <c r="B398" s="4" t="s">
        <v>47</v>
      </c>
      <c r="C398" s="5">
        <v>600</v>
      </c>
      <c r="D398" s="4" t="s">
        <v>32</v>
      </c>
      <c r="E398" s="4" t="s">
        <v>48</v>
      </c>
      <c r="F398" s="15">
        <v>40.931100000000001</v>
      </c>
      <c r="G398" s="15">
        <v>15.605399999999999</v>
      </c>
      <c r="H398" s="16">
        <v>656</v>
      </c>
      <c r="I398" s="4" t="s">
        <v>893</v>
      </c>
      <c r="J398" s="4" t="s">
        <v>334</v>
      </c>
      <c r="K398" s="6">
        <v>40.76</v>
      </c>
      <c r="L398" s="6">
        <v>14.0169</v>
      </c>
      <c r="M398" s="5" t="s">
        <v>340</v>
      </c>
      <c r="N398" s="5" t="s">
        <v>340</v>
      </c>
      <c r="O398" s="4" t="s">
        <v>309</v>
      </c>
      <c r="P398" s="5">
        <v>17</v>
      </c>
      <c r="Q398" s="5">
        <v>9999</v>
      </c>
      <c r="R398" s="8" t="s">
        <v>41</v>
      </c>
      <c r="S398" s="4" t="s">
        <v>1121</v>
      </c>
      <c r="T398" s="12">
        <v>23005</v>
      </c>
      <c r="U398" s="7">
        <v>23603</v>
      </c>
      <c r="V398" s="12">
        <v>24201</v>
      </c>
      <c r="W398" s="15" t="s">
        <v>1356</v>
      </c>
      <c r="X398" s="15" t="s">
        <v>1383</v>
      </c>
      <c r="Y398" s="7" t="s">
        <v>1087</v>
      </c>
      <c r="Z398" s="7" t="s">
        <v>1088</v>
      </c>
      <c r="AA398" s="7" t="s">
        <v>340</v>
      </c>
      <c r="AB398" s="5" t="s">
        <v>340</v>
      </c>
      <c r="AC398" s="7">
        <v>21260</v>
      </c>
      <c r="AD398" s="7">
        <v>1060</v>
      </c>
      <c r="AE398" s="7" t="s">
        <v>340</v>
      </c>
      <c r="AF398" s="7" t="s">
        <v>340</v>
      </c>
      <c r="AG398" s="7" t="s">
        <v>340</v>
      </c>
      <c r="AH398" s="5">
        <v>1</v>
      </c>
      <c r="AI398" s="5">
        <v>1</v>
      </c>
      <c r="AJ398" s="9">
        <f>IF(AND(ISNUMBER(F398),ISNUMBER(G398),ISNUMBER(K398),ISNUMBER(L398)),ACOS(MIN(1,COS(RADIANS(90-F398))*COS(RADIANS(90-K398))+SIN(RADIANS(90-F398))*SIN(RADIANS(90-K398))*COS(RADIANS(G398-L398))))*6371,"N/A")</f>
        <v>134.96433008420578</v>
      </c>
      <c r="AK398" s="10">
        <f>IF(AND(ISNUMBER(F398),ISNUMBER(G398),ISNUMBER(K398),ISNUMBER(L398)),MOD(DEGREES(ATAN2(COS(RADIANS(K398))*SIN(RADIANS(F398))-SIN(RADIANS(K398))*COS(RADIANS(F398))*COS(RADIANS(G398-L398)),SIN(RADIANS(G398-L398))*COS(RADIANS(F398))))+360,360),"N/A")</f>
        <v>81.377379131476516</v>
      </c>
      <c r="AL398" s="10" t="str">
        <f>IF(AND(ISNUMBER(F398),ISNUMBER(G398),ISNUMBER(M398),ISNUMBER(N398)),ACOS(MIN(1,COS(RADIANS(90-F398))*COS(RADIANS(90-M398))+SIN(RADIANS(90-F398))*SIN(RADIANS(90-M398))*COS(RADIANS(G398-N398))))*6371,"N/A")</f>
        <v>N/A</v>
      </c>
      <c r="AM398" s="10" t="str">
        <f>IF(AND(ISNUMBER(F398),ISNUMBER(G398),ISNUMBER(M398),ISNUMBER(N398)),MOD(DEGREES(ATAN2(COS(RADIANS(M398))*SIN(RADIANS(F398))-SIN(RADIANS(M398))*COS(RADIANS(F398))*COS(RADIANS(G398-N398)),SIN(RADIANS(G398-N398))*COS(RADIANS(F398))))+360,360),"N/A")</f>
        <v>N/A</v>
      </c>
      <c r="AN398" s="2"/>
      <c r="AO398" s="2"/>
    </row>
    <row r="399" spans="1:41" x14ac:dyDescent="0.2">
      <c r="A399" s="4" t="s">
        <v>294</v>
      </c>
      <c r="B399" s="4" t="s">
        <v>47</v>
      </c>
      <c r="C399" s="5">
        <v>600</v>
      </c>
      <c r="D399" s="4" t="s">
        <v>32</v>
      </c>
      <c r="E399" s="4" t="s">
        <v>48</v>
      </c>
      <c r="F399" s="15">
        <v>40.931100000000001</v>
      </c>
      <c r="G399" s="15">
        <v>15.605399999999999</v>
      </c>
      <c r="H399" s="16">
        <v>656</v>
      </c>
      <c r="I399" s="4" t="s">
        <v>893</v>
      </c>
      <c r="J399" s="4" t="s">
        <v>16</v>
      </c>
      <c r="K399" s="6">
        <v>40.820999999999998</v>
      </c>
      <c r="L399" s="6">
        <v>14.426</v>
      </c>
      <c r="M399" s="5" t="s">
        <v>340</v>
      </c>
      <c r="N399" s="5" t="s">
        <v>340</v>
      </c>
      <c r="O399" s="4" t="s">
        <v>762</v>
      </c>
      <c r="P399" s="5">
        <v>5</v>
      </c>
      <c r="Q399" s="5">
        <v>9999</v>
      </c>
      <c r="R399" s="4" t="s">
        <v>41</v>
      </c>
      <c r="S399" s="4" t="s">
        <v>1121</v>
      </c>
      <c r="T399" s="12">
        <v>319</v>
      </c>
      <c r="U399" s="12">
        <v>319</v>
      </c>
      <c r="V399" s="12">
        <v>319</v>
      </c>
      <c r="W399" s="21" t="s">
        <v>898</v>
      </c>
      <c r="X399" s="15" t="s">
        <v>332</v>
      </c>
      <c r="Y399" s="7" t="s">
        <v>340</v>
      </c>
      <c r="Z399" s="7" t="s">
        <v>340</v>
      </c>
      <c r="AA399" s="7" t="s">
        <v>340</v>
      </c>
      <c r="AB399" s="5" t="s">
        <v>340</v>
      </c>
      <c r="AC399" s="7">
        <v>90</v>
      </c>
      <c r="AD399" s="7">
        <v>5</v>
      </c>
      <c r="AE399" s="7" t="s">
        <v>340</v>
      </c>
      <c r="AF399" s="7" t="s">
        <v>340</v>
      </c>
      <c r="AG399" s="7" t="s">
        <v>762</v>
      </c>
      <c r="AH399" s="5">
        <v>1</v>
      </c>
      <c r="AI399" s="5">
        <v>1</v>
      </c>
      <c r="AJ399" s="9">
        <f>IF(AND(ISNUMBER(F399),ISNUMBER(G399),ISNUMBER(K399),ISNUMBER(L399)),ACOS(MIN(1,COS(RADIANS(90-F399))*COS(RADIANS(90-K399))+SIN(RADIANS(90-F399))*SIN(RADIANS(90-K399))*COS(RADIANS(G399-L399))))*6371,"N/A")</f>
        <v>99.91308978704707</v>
      </c>
      <c r="AK399" s="10">
        <f>IF(AND(ISNUMBER(F399),ISNUMBER(G399),ISNUMBER(K399),ISNUMBER(L399)),MOD(DEGREES(ATAN2(COS(RADIANS(K399))*SIN(RADIANS(F399))-SIN(RADIANS(K399))*COS(RADIANS(F399))*COS(RADIANS(G399-L399)),SIN(RADIANS(G399-L399))*COS(RADIANS(F399))))+360,360),"N/A")</f>
        <v>82.576120676736537</v>
      </c>
      <c r="AL399" s="10" t="str">
        <f>IF(AND(ISNUMBER(F399),ISNUMBER(G399),ISNUMBER(M399),ISNUMBER(N399)),ACOS(MIN(1,COS(RADIANS(90-F399))*COS(RADIANS(90-M399))+SIN(RADIANS(90-F399))*SIN(RADIANS(90-M399))*COS(RADIANS(G399-N399))))*6371,"N/A")</f>
        <v>N/A</v>
      </c>
      <c r="AM399" s="10" t="str">
        <f>IF(AND(ISNUMBER(F399),ISNUMBER(G399),ISNUMBER(M399),ISNUMBER(N399)),MOD(DEGREES(ATAN2(COS(RADIANS(M399))*SIN(RADIANS(F399))-SIN(RADIANS(M399))*COS(RADIANS(F399))*COS(RADIANS(G399-N399)),SIN(RADIANS(G399-N399))*COS(RADIANS(F399))))+360,360),"N/A")</f>
        <v>N/A</v>
      </c>
      <c r="AN399" s="2"/>
      <c r="AO399" s="2"/>
    </row>
    <row r="400" spans="1:41" x14ac:dyDescent="0.2">
      <c r="A400" s="4" t="s">
        <v>290</v>
      </c>
      <c r="B400" s="4" t="s">
        <v>47</v>
      </c>
      <c r="C400" s="5">
        <v>600</v>
      </c>
      <c r="D400" s="4" t="s">
        <v>32</v>
      </c>
      <c r="E400" s="4" t="s">
        <v>48</v>
      </c>
      <c r="F400" s="15">
        <v>40.931100000000001</v>
      </c>
      <c r="G400" s="15">
        <v>15.605399999999999</v>
      </c>
      <c r="H400" s="16">
        <v>656</v>
      </c>
      <c r="I400" s="4" t="s">
        <v>893</v>
      </c>
      <c r="J400" s="4" t="s">
        <v>16</v>
      </c>
      <c r="K400" s="6">
        <v>40.820999999999998</v>
      </c>
      <c r="L400" s="6">
        <v>14.426</v>
      </c>
      <c r="M400" s="5" t="s">
        <v>340</v>
      </c>
      <c r="N400" s="5" t="s">
        <v>340</v>
      </c>
      <c r="O400" s="4" t="s">
        <v>880</v>
      </c>
      <c r="P400" s="5">
        <v>9</v>
      </c>
      <c r="Q400" s="5">
        <v>9999</v>
      </c>
      <c r="R400" s="4" t="s">
        <v>41</v>
      </c>
      <c r="S400" s="4" t="s">
        <v>1121</v>
      </c>
      <c r="T400" s="7">
        <v>1478</v>
      </c>
      <c r="U400" s="7">
        <v>1478</v>
      </c>
      <c r="V400" s="7">
        <v>1478</v>
      </c>
      <c r="W400" s="15" t="s">
        <v>898</v>
      </c>
      <c r="X400" s="15" t="s">
        <v>897</v>
      </c>
      <c r="Y400" s="7" t="s">
        <v>340</v>
      </c>
      <c r="Z400" s="7" t="s">
        <v>340</v>
      </c>
      <c r="AA400" s="7" t="s">
        <v>340</v>
      </c>
      <c r="AB400" s="5" t="s">
        <v>340</v>
      </c>
      <c r="AC400" s="7">
        <v>1440</v>
      </c>
      <c r="AD400" s="7">
        <v>70</v>
      </c>
      <c r="AE400" s="7" t="s">
        <v>340</v>
      </c>
      <c r="AF400" s="7" t="s">
        <v>340</v>
      </c>
      <c r="AG400" s="7" t="s">
        <v>881</v>
      </c>
      <c r="AH400" s="5">
        <v>1</v>
      </c>
      <c r="AI400" s="5">
        <v>1</v>
      </c>
      <c r="AJ400" s="9">
        <f>IF(AND(ISNUMBER(F400),ISNUMBER(G400),ISNUMBER(K400),ISNUMBER(L400)),ACOS(MIN(1,COS(RADIANS(90-F400))*COS(RADIANS(90-K400))+SIN(RADIANS(90-F400))*SIN(RADIANS(90-K400))*COS(RADIANS(G400-L400))))*6371,"N/A")</f>
        <v>99.91308978704707</v>
      </c>
      <c r="AK400" s="10">
        <f>IF(AND(ISNUMBER(F400),ISNUMBER(G400),ISNUMBER(K400),ISNUMBER(L400)),MOD(DEGREES(ATAN2(COS(RADIANS(K400))*SIN(RADIANS(F400))-SIN(RADIANS(K400))*COS(RADIANS(F400))*COS(RADIANS(G400-L400)),SIN(RADIANS(G400-L400))*COS(RADIANS(F400))))+360,360),"N/A")</f>
        <v>82.576120676736537</v>
      </c>
      <c r="AL400" s="10" t="str">
        <f>IF(AND(ISNUMBER(F400),ISNUMBER(G400),ISNUMBER(M400),ISNUMBER(N400)),ACOS(MIN(1,COS(RADIANS(90-F400))*COS(RADIANS(90-M400))+SIN(RADIANS(90-F400))*SIN(RADIANS(90-M400))*COS(RADIANS(G400-N400))))*6371,"N/A")</f>
        <v>N/A</v>
      </c>
      <c r="AM400" s="10" t="str">
        <f>IF(AND(ISNUMBER(F400),ISNUMBER(G400),ISNUMBER(M400),ISNUMBER(N400)),MOD(DEGREES(ATAN2(COS(RADIANS(M400))*SIN(RADIANS(F400))-SIN(RADIANS(M400))*COS(RADIANS(F400))*COS(RADIANS(G400-N400)),SIN(RADIANS(G400-N400))*COS(RADIANS(F400))))+360,360),"N/A")</f>
        <v>N/A</v>
      </c>
      <c r="AN400" s="2"/>
      <c r="AO400" s="2"/>
    </row>
    <row r="401" spans="1:41" x14ac:dyDescent="0.2">
      <c r="A401" s="4" t="s">
        <v>291</v>
      </c>
      <c r="B401" s="4" t="s">
        <v>47</v>
      </c>
      <c r="C401" s="5">
        <v>600</v>
      </c>
      <c r="D401" s="4" t="s">
        <v>32</v>
      </c>
      <c r="E401" s="4" t="s">
        <v>48</v>
      </c>
      <c r="F401" s="15">
        <v>40.931100000000001</v>
      </c>
      <c r="G401" s="15">
        <v>15.605399999999999</v>
      </c>
      <c r="H401" s="16">
        <v>656</v>
      </c>
      <c r="I401" s="4" t="s">
        <v>893</v>
      </c>
      <c r="J401" s="4" t="s">
        <v>16</v>
      </c>
      <c r="K401" s="6">
        <v>40.820999999999998</v>
      </c>
      <c r="L401" s="6">
        <v>14.426</v>
      </c>
      <c r="M401" s="5" t="s">
        <v>340</v>
      </c>
      <c r="N401" s="5" t="s">
        <v>340</v>
      </c>
      <c r="O401" s="4" t="s">
        <v>668</v>
      </c>
      <c r="P401" s="5" t="s">
        <v>301</v>
      </c>
      <c r="Q401" s="5">
        <v>9999</v>
      </c>
      <c r="R401" s="4" t="s">
        <v>41</v>
      </c>
      <c r="S401" s="4" t="s">
        <v>1121</v>
      </c>
      <c r="T401" s="7">
        <v>1438</v>
      </c>
      <c r="U401" s="7">
        <v>1438</v>
      </c>
      <c r="V401" s="7">
        <v>1438</v>
      </c>
      <c r="W401" s="15" t="s">
        <v>898</v>
      </c>
      <c r="X401" s="15" t="s">
        <v>332</v>
      </c>
      <c r="Y401" s="7" t="s">
        <v>340</v>
      </c>
      <c r="Z401" s="7" t="s">
        <v>340</v>
      </c>
      <c r="AA401" s="7" t="s">
        <v>340</v>
      </c>
      <c r="AB401" s="5" t="s">
        <v>340</v>
      </c>
      <c r="AC401" s="7">
        <v>1420</v>
      </c>
      <c r="AD401" s="7">
        <v>70</v>
      </c>
      <c r="AE401" s="7" t="s">
        <v>340</v>
      </c>
      <c r="AF401" s="7" t="s">
        <v>340</v>
      </c>
      <c r="AG401" s="7" t="s">
        <v>668</v>
      </c>
      <c r="AH401" s="5">
        <v>1</v>
      </c>
      <c r="AI401" s="5">
        <v>1</v>
      </c>
      <c r="AJ401" s="9">
        <f>IF(AND(ISNUMBER(F401),ISNUMBER(G401),ISNUMBER(K401),ISNUMBER(L401)),ACOS(MIN(1,COS(RADIANS(90-F401))*COS(RADIANS(90-K401))+SIN(RADIANS(90-F401))*SIN(RADIANS(90-K401))*COS(RADIANS(G401-L401))))*6371,"N/A")</f>
        <v>99.91308978704707</v>
      </c>
      <c r="AK401" s="10">
        <f>IF(AND(ISNUMBER(F401),ISNUMBER(G401),ISNUMBER(K401),ISNUMBER(L401)),MOD(DEGREES(ATAN2(COS(RADIANS(K401))*SIN(RADIANS(F401))-SIN(RADIANS(K401))*COS(RADIANS(F401))*COS(RADIANS(G401-L401)),SIN(RADIANS(G401-L401))*COS(RADIANS(F401))))+360,360),"N/A")</f>
        <v>82.576120676736537</v>
      </c>
      <c r="AL401" s="10" t="str">
        <f>IF(AND(ISNUMBER(F401),ISNUMBER(G401),ISNUMBER(M401),ISNUMBER(N401)),ACOS(MIN(1,COS(RADIANS(90-F401))*COS(RADIANS(90-M401))+SIN(RADIANS(90-F401))*SIN(RADIANS(90-M401))*COS(RADIANS(G401-N401))))*6371,"N/A")</f>
        <v>N/A</v>
      </c>
      <c r="AM401" s="10" t="str">
        <f>IF(AND(ISNUMBER(F401),ISNUMBER(G401),ISNUMBER(M401),ISNUMBER(N401)),MOD(DEGREES(ATAN2(COS(RADIANS(M401))*SIN(RADIANS(F401))-SIN(RADIANS(M401))*COS(RADIANS(F401))*COS(RADIANS(G401-N401)),SIN(RADIANS(G401-N401))*COS(RADIANS(F401))))+360,360),"N/A")</f>
        <v>N/A</v>
      </c>
      <c r="AN401" s="2"/>
      <c r="AO401" s="2"/>
    </row>
    <row r="402" spans="1:41" x14ac:dyDescent="0.2">
      <c r="A402" s="4" t="s">
        <v>285</v>
      </c>
      <c r="B402" s="4" t="s">
        <v>47</v>
      </c>
      <c r="C402" s="5">
        <v>600</v>
      </c>
      <c r="D402" s="4" t="s">
        <v>32</v>
      </c>
      <c r="E402" s="4" t="s">
        <v>48</v>
      </c>
      <c r="F402" s="15">
        <v>40.931100000000001</v>
      </c>
      <c r="G402" s="15">
        <v>15.605399999999999</v>
      </c>
      <c r="H402" s="16">
        <v>656</v>
      </c>
      <c r="I402" s="4" t="s">
        <v>893</v>
      </c>
      <c r="J402" s="4" t="s">
        <v>16</v>
      </c>
      <c r="K402" s="6">
        <v>40.820999999999998</v>
      </c>
      <c r="L402" s="6">
        <v>14.426</v>
      </c>
      <c r="M402" s="5" t="s">
        <v>340</v>
      </c>
      <c r="N402" s="5" t="s">
        <v>340</v>
      </c>
      <c r="O402" s="4" t="s">
        <v>296</v>
      </c>
      <c r="P402" s="5" t="s">
        <v>303</v>
      </c>
      <c r="Q402" s="5">
        <v>9999</v>
      </c>
      <c r="R402" s="4" t="s">
        <v>41</v>
      </c>
      <c r="S402" s="4" t="s">
        <v>1121</v>
      </c>
      <c r="T402" s="7">
        <v>3500</v>
      </c>
      <c r="U402" s="7">
        <v>3600</v>
      </c>
      <c r="V402" s="7">
        <v>3700</v>
      </c>
      <c r="W402" s="15" t="s">
        <v>1094</v>
      </c>
      <c r="X402" s="15" t="s">
        <v>1051</v>
      </c>
      <c r="Y402" s="7">
        <v>3225</v>
      </c>
      <c r="Z402" s="7">
        <v>140</v>
      </c>
      <c r="AA402" s="7" t="s">
        <v>340</v>
      </c>
      <c r="AB402" s="5" t="s">
        <v>340</v>
      </c>
      <c r="AC402" s="7">
        <v>4150</v>
      </c>
      <c r="AD402" s="7">
        <v>220</v>
      </c>
      <c r="AE402" s="7">
        <v>3414</v>
      </c>
      <c r="AF402" s="7" t="s">
        <v>939</v>
      </c>
      <c r="AG402" s="7" t="s">
        <v>340</v>
      </c>
      <c r="AH402" s="5">
        <v>1</v>
      </c>
      <c r="AI402" s="5">
        <v>1</v>
      </c>
      <c r="AJ402" s="9">
        <f>IF(AND(ISNUMBER(F402),ISNUMBER(G402),ISNUMBER(K402),ISNUMBER(L402)),ACOS(MIN(1,COS(RADIANS(90-F402))*COS(RADIANS(90-K402))+SIN(RADIANS(90-F402))*SIN(RADIANS(90-K402))*COS(RADIANS(G402-L402))))*6371,"N/A")</f>
        <v>99.91308978704707</v>
      </c>
      <c r="AK402" s="10">
        <f>IF(AND(ISNUMBER(F402),ISNUMBER(G402),ISNUMBER(K402),ISNUMBER(L402)),MOD(DEGREES(ATAN2(COS(RADIANS(K402))*SIN(RADIANS(F402))-SIN(RADIANS(K402))*COS(RADIANS(F402))*COS(RADIANS(G402-L402)),SIN(RADIANS(G402-L402))*COS(RADIANS(F402))))+360,360),"N/A")</f>
        <v>82.576120676736537</v>
      </c>
      <c r="AL402" s="10" t="str">
        <f>IF(AND(ISNUMBER(F402),ISNUMBER(G402),ISNUMBER(M402),ISNUMBER(N402)),ACOS(MIN(1,COS(RADIANS(90-F402))*COS(RADIANS(90-M402))+SIN(RADIANS(90-F402))*SIN(RADIANS(90-M402))*COS(RADIANS(G402-N402))))*6371,"N/A")</f>
        <v>N/A</v>
      </c>
      <c r="AM402" s="10" t="str">
        <f>IF(AND(ISNUMBER(F402),ISNUMBER(G402),ISNUMBER(M402),ISNUMBER(N402)),MOD(DEGREES(ATAN2(COS(RADIANS(M402))*SIN(RADIANS(F402))-SIN(RADIANS(M402))*COS(RADIANS(F402))*COS(RADIANS(G402-N402)),SIN(RADIANS(G402-N402))*COS(RADIANS(F402))))+360,360),"N/A")</f>
        <v>N/A</v>
      </c>
      <c r="AN402" s="2"/>
      <c r="AO402" s="2"/>
    </row>
    <row r="403" spans="1:41" x14ac:dyDescent="0.2">
      <c r="A403" s="4" t="s">
        <v>286</v>
      </c>
      <c r="B403" s="4" t="s">
        <v>47</v>
      </c>
      <c r="C403" s="5">
        <v>600</v>
      </c>
      <c r="D403" s="4" t="s">
        <v>32</v>
      </c>
      <c r="E403" s="4" t="s">
        <v>48</v>
      </c>
      <c r="F403" s="15">
        <v>40.931100000000001</v>
      </c>
      <c r="G403" s="15">
        <v>15.605399999999999</v>
      </c>
      <c r="H403" s="16">
        <v>656</v>
      </c>
      <c r="I403" s="4" t="s">
        <v>893</v>
      </c>
      <c r="J403" s="4" t="s">
        <v>16</v>
      </c>
      <c r="K403" s="6">
        <v>40.820999999999998</v>
      </c>
      <c r="L403" s="6">
        <v>14.426</v>
      </c>
      <c r="M403" s="5" t="s">
        <v>340</v>
      </c>
      <c r="N403" s="5" t="s">
        <v>340</v>
      </c>
      <c r="O403" s="4" t="s">
        <v>297</v>
      </c>
      <c r="P403" s="5" t="s">
        <v>300</v>
      </c>
      <c r="Q403" s="5">
        <v>9999</v>
      </c>
      <c r="R403" s="4" t="s">
        <v>41</v>
      </c>
      <c r="S403" s="4" t="s">
        <v>1121</v>
      </c>
      <c r="T403" s="7">
        <v>2742</v>
      </c>
      <c r="U403" s="7">
        <v>2820</v>
      </c>
      <c r="V403" s="7">
        <v>2948</v>
      </c>
      <c r="W403" s="15" t="s">
        <v>1095</v>
      </c>
      <c r="X403" s="15" t="s">
        <v>1369</v>
      </c>
      <c r="Y403" s="7">
        <v>2710</v>
      </c>
      <c r="Z403" s="7">
        <v>60</v>
      </c>
      <c r="AA403" s="7" t="s">
        <v>340</v>
      </c>
      <c r="AB403" s="5" t="s">
        <v>340</v>
      </c>
      <c r="AC403" s="7">
        <v>4020</v>
      </c>
      <c r="AD403" s="7">
        <v>200</v>
      </c>
      <c r="AE403" s="7">
        <v>3414</v>
      </c>
      <c r="AF403" s="7" t="s">
        <v>939</v>
      </c>
      <c r="AG403" s="7" t="s">
        <v>340</v>
      </c>
      <c r="AH403" s="5">
        <v>1</v>
      </c>
      <c r="AI403" s="5">
        <v>1</v>
      </c>
      <c r="AJ403" s="9">
        <f>IF(AND(ISNUMBER(F403),ISNUMBER(G403),ISNUMBER(K403),ISNUMBER(L403)),ACOS(MIN(1,COS(RADIANS(90-F403))*COS(RADIANS(90-K403))+SIN(RADIANS(90-F403))*SIN(RADIANS(90-K403))*COS(RADIANS(G403-L403))))*6371,"N/A")</f>
        <v>99.91308978704707</v>
      </c>
      <c r="AK403" s="10">
        <f>IF(AND(ISNUMBER(F403),ISNUMBER(G403),ISNUMBER(K403),ISNUMBER(L403)),MOD(DEGREES(ATAN2(COS(RADIANS(K403))*SIN(RADIANS(F403))-SIN(RADIANS(K403))*COS(RADIANS(F403))*COS(RADIANS(G403-L403)),SIN(RADIANS(G403-L403))*COS(RADIANS(F403))))+360,360),"N/A")</f>
        <v>82.576120676736537</v>
      </c>
      <c r="AL403" s="10" t="str">
        <f>IF(AND(ISNUMBER(F403),ISNUMBER(G403),ISNUMBER(M403),ISNUMBER(N403)),ACOS(MIN(1,COS(RADIANS(90-F403))*COS(RADIANS(90-M403))+SIN(RADIANS(90-F403))*SIN(RADIANS(90-M403))*COS(RADIANS(G403-N403))))*6371,"N/A")</f>
        <v>N/A</v>
      </c>
      <c r="AM403" s="10" t="str">
        <f>IF(AND(ISNUMBER(F403),ISNUMBER(G403),ISNUMBER(M403),ISNUMBER(N403)),MOD(DEGREES(ATAN2(COS(RADIANS(M403))*SIN(RADIANS(F403))-SIN(RADIANS(M403))*COS(RADIANS(F403))*COS(RADIANS(G403-N403)),SIN(RADIANS(G403-N403))*COS(RADIANS(F403))))+360,360),"N/A")</f>
        <v>N/A</v>
      </c>
      <c r="AN403" s="2"/>
      <c r="AO403" s="2"/>
    </row>
    <row r="404" spans="1:41" x14ac:dyDescent="0.2">
      <c r="A404" s="4" t="s">
        <v>287</v>
      </c>
      <c r="B404" s="4" t="s">
        <v>47</v>
      </c>
      <c r="C404" s="5">
        <v>600</v>
      </c>
      <c r="D404" s="4" t="s">
        <v>32</v>
      </c>
      <c r="E404" s="4" t="s">
        <v>48</v>
      </c>
      <c r="F404" s="15">
        <v>40.931100000000001</v>
      </c>
      <c r="G404" s="15">
        <v>15.605399999999999</v>
      </c>
      <c r="H404" s="16">
        <v>656</v>
      </c>
      <c r="I404" s="4" t="s">
        <v>893</v>
      </c>
      <c r="J404" s="4" t="s">
        <v>16</v>
      </c>
      <c r="K404" s="6">
        <v>40.820999999999998</v>
      </c>
      <c r="L404" s="6">
        <v>14.426</v>
      </c>
      <c r="M404" s="5" t="s">
        <v>340</v>
      </c>
      <c r="N404" s="5" t="s">
        <v>340</v>
      </c>
      <c r="O404" s="4" t="s">
        <v>298</v>
      </c>
      <c r="P404" s="5" t="s">
        <v>302</v>
      </c>
      <c r="Q404" s="5">
        <v>9999</v>
      </c>
      <c r="R404" s="4" t="s">
        <v>41</v>
      </c>
      <c r="S404" s="4" t="s">
        <v>1121</v>
      </c>
      <c r="T404" s="7">
        <v>2168</v>
      </c>
      <c r="U404" s="7">
        <v>2558</v>
      </c>
      <c r="V404" s="7">
        <v>2948</v>
      </c>
      <c r="W404" s="15" t="s">
        <v>947</v>
      </c>
      <c r="X404" s="15" t="s">
        <v>946</v>
      </c>
      <c r="Y404" s="7" t="s">
        <v>340</v>
      </c>
      <c r="Z404" s="7" t="s">
        <v>340</v>
      </c>
      <c r="AA404" s="7" t="s">
        <v>340</v>
      </c>
      <c r="AB404" s="5" t="s">
        <v>340</v>
      </c>
      <c r="AC404" s="7">
        <v>3990</v>
      </c>
      <c r="AD404" s="7">
        <v>200</v>
      </c>
      <c r="AE404" s="7" t="s">
        <v>340</v>
      </c>
      <c r="AF404" s="7" t="s">
        <v>340</v>
      </c>
      <c r="AG404" s="7" t="s">
        <v>340</v>
      </c>
      <c r="AH404" s="5">
        <v>1</v>
      </c>
      <c r="AI404" s="5">
        <v>1</v>
      </c>
      <c r="AJ404" s="9">
        <f>IF(AND(ISNUMBER(F404),ISNUMBER(G404),ISNUMBER(K404),ISNUMBER(L404)),ACOS(MIN(1,COS(RADIANS(90-F404))*COS(RADIANS(90-K404))+SIN(RADIANS(90-F404))*SIN(RADIANS(90-K404))*COS(RADIANS(G404-L404))))*6371,"N/A")</f>
        <v>99.91308978704707</v>
      </c>
      <c r="AK404" s="10">
        <f>IF(AND(ISNUMBER(F404),ISNUMBER(G404),ISNUMBER(K404),ISNUMBER(L404)),MOD(DEGREES(ATAN2(COS(RADIANS(K404))*SIN(RADIANS(F404))-SIN(RADIANS(K404))*COS(RADIANS(F404))*COS(RADIANS(G404-L404)),SIN(RADIANS(G404-L404))*COS(RADIANS(F404))))+360,360),"N/A")</f>
        <v>82.576120676736537</v>
      </c>
      <c r="AL404" s="10" t="str">
        <f>IF(AND(ISNUMBER(F404),ISNUMBER(G404),ISNUMBER(M404),ISNUMBER(N404)),ACOS(MIN(1,COS(RADIANS(90-F404))*COS(RADIANS(90-M404))+SIN(RADIANS(90-F404))*SIN(RADIANS(90-M404))*COS(RADIANS(G404-N404))))*6371,"N/A")</f>
        <v>N/A</v>
      </c>
      <c r="AM404" s="10" t="str">
        <f>IF(AND(ISNUMBER(F404),ISNUMBER(G404),ISNUMBER(M404),ISNUMBER(N404)),MOD(DEGREES(ATAN2(COS(RADIANS(M404))*SIN(RADIANS(F404))-SIN(RADIANS(M404))*COS(RADIANS(F404))*COS(RADIANS(G404-N404)),SIN(RADIANS(G404-N404))*COS(RADIANS(F404))))+360,360),"N/A")</f>
        <v>N/A</v>
      </c>
      <c r="AN404" s="2"/>
      <c r="AO404" s="2"/>
    </row>
    <row r="405" spans="1:41" x14ac:dyDescent="0.2">
      <c r="A405" s="4" t="s">
        <v>288</v>
      </c>
      <c r="B405" s="4" t="s">
        <v>47</v>
      </c>
      <c r="C405" s="5">
        <v>600</v>
      </c>
      <c r="D405" s="4" t="s">
        <v>32</v>
      </c>
      <c r="E405" s="4" t="s">
        <v>48</v>
      </c>
      <c r="F405" s="15">
        <v>40.931100000000001</v>
      </c>
      <c r="G405" s="15">
        <v>15.605399999999999</v>
      </c>
      <c r="H405" s="16">
        <v>656</v>
      </c>
      <c r="I405" s="4" t="s">
        <v>893</v>
      </c>
      <c r="J405" s="4" t="s">
        <v>16</v>
      </c>
      <c r="K405" s="6">
        <v>40.820999999999998</v>
      </c>
      <c r="L405" s="6">
        <v>14.426</v>
      </c>
      <c r="M405" s="5" t="s">
        <v>340</v>
      </c>
      <c r="N405" s="5" t="s">
        <v>340</v>
      </c>
      <c r="O405" s="4" t="s">
        <v>299</v>
      </c>
      <c r="P405" s="5" t="s">
        <v>311</v>
      </c>
      <c r="Q405" s="5">
        <v>9999</v>
      </c>
      <c r="R405" s="4" t="s">
        <v>41</v>
      </c>
      <c r="S405" s="4" t="s">
        <v>1144</v>
      </c>
      <c r="T405" s="7">
        <v>2168</v>
      </c>
      <c r="U405" s="7">
        <v>2558</v>
      </c>
      <c r="V405" s="7">
        <v>2948</v>
      </c>
      <c r="W405" s="15" t="s">
        <v>947</v>
      </c>
      <c r="X405" s="15" t="s">
        <v>946</v>
      </c>
      <c r="Y405" s="7" t="s">
        <v>340</v>
      </c>
      <c r="Z405" s="7" t="s">
        <v>340</v>
      </c>
      <c r="AA405" s="7" t="s">
        <v>340</v>
      </c>
      <c r="AB405" s="5" t="s">
        <v>340</v>
      </c>
      <c r="AC405" s="7">
        <v>3940</v>
      </c>
      <c r="AD405" s="7">
        <v>200</v>
      </c>
      <c r="AE405" s="7" t="s">
        <v>340</v>
      </c>
      <c r="AF405" s="7" t="s">
        <v>340</v>
      </c>
      <c r="AG405" s="7" t="s">
        <v>340</v>
      </c>
      <c r="AH405" s="5">
        <v>1</v>
      </c>
      <c r="AI405" s="5">
        <v>1</v>
      </c>
      <c r="AJ405" s="9">
        <f>IF(AND(ISNUMBER(F405),ISNUMBER(G405),ISNUMBER(K405),ISNUMBER(L405)),ACOS(MIN(1,COS(RADIANS(90-F405))*COS(RADIANS(90-K405))+SIN(RADIANS(90-F405))*SIN(RADIANS(90-K405))*COS(RADIANS(G405-L405))))*6371,"N/A")</f>
        <v>99.91308978704707</v>
      </c>
      <c r="AK405" s="10">
        <f>IF(AND(ISNUMBER(F405),ISNUMBER(G405),ISNUMBER(K405),ISNUMBER(L405)),MOD(DEGREES(ATAN2(COS(RADIANS(K405))*SIN(RADIANS(F405))-SIN(RADIANS(K405))*COS(RADIANS(F405))*COS(RADIANS(G405-L405)),SIN(RADIANS(G405-L405))*COS(RADIANS(F405))))+360,360),"N/A")</f>
        <v>82.576120676736537</v>
      </c>
      <c r="AL405" s="10" t="str">
        <f>IF(AND(ISNUMBER(F405),ISNUMBER(G405),ISNUMBER(M405),ISNUMBER(N405)),ACOS(MIN(1,COS(RADIANS(90-F405))*COS(RADIANS(90-M405))+SIN(RADIANS(90-F405))*SIN(RADIANS(90-M405))*COS(RADIANS(G405-N405))))*6371,"N/A")</f>
        <v>N/A</v>
      </c>
      <c r="AM405" s="10" t="str">
        <f>IF(AND(ISNUMBER(F405),ISNUMBER(G405),ISNUMBER(M405),ISNUMBER(N405)),MOD(DEGREES(ATAN2(COS(RADIANS(M405))*SIN(RADIANS(F405))-SIN(RADIANS(M405))*COS(RADIANS(F405))*COS(RADIANS(G405-N405)),SIN(RADIANS(G405-N405))*COS(RADIANS(F405))))+360,360),"N/A")</f>
        <v>N/A</v>
      </c>
      <c r="AN405" s="2"/>
      <c r="AO405" s="2"/>
    </row>
    <row r="406" spans="1:41" x14ac:dyDescent="0.2">
      <c r="A406" s="4" t="s">
        <v>284</v>
      </c>
      <c r="B406" s="4" t="s">
        <v>47</v>
      </c>
      <c r="C406" s="5">
        <v>600</v>
      </c>
      <c r="D406" s="4" t="s">
        <v>32</v>
      </c>
      <c r="E406" s="4" t="s">
        <v>48</v>
      </c>
      <c r="F406" s="15">
        <v>40.931100000000001</v>
      </c>
      <c r="G406" s="15">
        <v>15.605399999999999</v>
      </c>
      <c r="H406" s="16">
        <v>656</v>
      </c>
      <c r="I406" s="4" t="s">
        <v>893</v>
      </c>
      <c r="J406" s="4" t="s">
        <v>16</v>
      </c>
      <c r="K406" s="6">
        <v>40.820999999999998</v>
      </c>
      <c r="L406" s="6">
        <v>14.426</v>
      </c>
      <c r="M406" s="5" t="s">
        <v>340</v>
      </c>
      <c r="N406" s="5" t="s">
        <v>340</v>
      </c>
      <c r="O406" s="4" t="s">
        <v>38</v>
      </c>
      <c r="P406" s="5" t="s">
        <v>301</v>
      </c>
      <c r="Q406" s="5">
        <v>9999</v>
      </c>
      <c r="R406" s="4" t="s">
        <v>41</v>
      </c>
      <c r="S406" s="4" t="s">
        <v>1121</v>
      </c>
      <c r="T406" s="7" t="s">
        <v>920</v>
      </c>
      <c r="U406" s="7">
        <v>3839</v>
      </c>
      <c r="V406" s="7" t="s">
        <v>921</v>
      </c>
      <c r="W406" s="15" t="s">
        <v>922</v>
      </c>
      <c r="X406" s="21" t="s">
        <v>919</v>
      </c>
      <c r="Y406" s="7" t="s">
        <v>340</v>
      </c>
      <c r="Z406" s="7" t="s">
        <v>340</v>
      </c>
      <c r="AA406" s="7" t="s">
        <v>340</v>
      </c>
      <c r="AB406" s="5" t="s">
        <v>340</v>
      </c>
      <c r="AC406" s="7">
        <v>4310</v>
      </c>
      <c r="AD406" s="7">
        <v>220</v>
      </c>
      <c r="AE406" s="7">
        <v>3839</v>
      </c>
      <c r="AF406" s="7">
        <v>21</v>
      </c>
      <c r="AG406" s="7" t="s">
        <v>340</v>
      </c>
      <c r="AH406" s="5">
        <v>1</v>
      </c>
      <c r="AI406" s="5">
        <v>1</v>
      </c>
      <c r="AJ406" s="9">
        <f>IF(AND(ISNUMBER(F406),ISNUMBER(G406),ISNUMBER(K406),ISNUMBER(L406)),ACOS(MIN(1,COS(RADIANS(90-F406))*COS(RADIANS(90-K406))+SIN(RADIANS(90-F406))*SIN(RADIANS(90-K406))*COS(RADIANS(G406-L406))))*6371,"N/A")</f>
        <v>99.91308978704707</v>
      </c>
      <c r="AK406" s="10">
        <f>IF(AND(ISNUMBER(F406),ISNUMBER(G406),ISNUMBER(K406),ISNUMBER(L406)),MOD(DEGREES(ATAN2(COS(RADIANS(K406))*SIN(RADIANS(F406))-SIN(RADIANS(K406))*COS(RADIANS(F406))*COS(RADIANS(G406-L406)),SIN(RADIANS(G406-L406))*COS(RADIANS(F406))))+360,360),"N/A")</f>
        <v>82.576120676736537</v>
      </c>
      <c r="AL406" s="10" t="str">
        <f>IF(AND(ISNUMBER(F406),ISNUMBER(G406),ISNUMBER(M406),ISNUMBER(N406)),ACOS(MIN(1,COS(RADIANS(90-F406))*COS(RADIANS(90-M406))+SIN(RADIANS(90-F406))*SIN(RADIANS(90-M406))*COS(RADIANS(G406-N406))))*6371,"N/A")</f>
        <v>N/A</v>
      </c>
      <c r="AM406" s="10" t="str">
        <f>IF(AND(ISNUMBER(F406),ISNUMBER(G406),ISNUMBER(M406),ISNUMBER(N406)),MOD(DEGREES(ATAN2(COS(RADIANS(M406))*SIN(RADIANS(F406))-SIN(RADIANS(M406))*COS(RADIANS(F406))*COS(RADIANS(G406-N406)),SIN(RADIANS(G406-N406))*COS(RADIANS(F406))))+360,360),"N/A")</f>
        <v>N/A</v>
      </c>
      <c r="AN406" s="2"/>
      <c r="AO406" s="2"/>
    </row>
    <row r="407" spans="1:41" x14ac:dyDescent="0.2">
      <c r="A407" s="4" t="s">
        <v>262</v>
      </c>
      <c r="B407" s="4" t="s">
        <v>47</v>
      </c>
      <c r="C407" s="5">
        <v>600</v>
      </c>
      <c r="D407" s="4" t="s">
        <v>32</v>
      </c>
      <c r="E407" s="4" t="s">
        <v>48</v>
      </c>
      <c r="F407" s="15">
        <v>40.931100000000001</v>
      </c>
      <c r="G407" s="15">
        <v>15.605399999999999</v>
      </c>
      <c r="H407" s="16">
        <v>656</v>
      </c>
      <c r="I407" s="4" t="s">
        <v>893</v>
      </c>
      <c r="J407" s="4" t="s">
        <v>16</v>
      </c>
      <c r="K407" s="6">
        <v>40.820999999999998</v>
      </c>
      <c r="L407" s="6">
        <v>14.426</v>
      </c>
      <c r="M407" s="5" t="s">
        <v>340</v>
      </c>
      <c r="N407" s="5" t="s">
        <v>340</v>
      </c>
      <c r="O407" s="4" t="s">
        <v>1069</v>
      </c>
      <c r="P407" s="5" t="s">
        <v>307</v>
      </c>
      <c r="Q407" s="5">
        <v>9999</v>
      </c>
      <c r="R407" s="4" t="s">
        <v>41</v>
      </c>
      <c r="S407" s="4" t="s">
        <v>1121</v>
      </c>
      <c r="T407" s="12">
        <v>18978</v>
      </c>
      <c r="U407" s="12">
        <v>19162</v>
      </c>
      <c r="V407" s="12">
        <v>19352</v>
      </c>
      <c r="W407" s="21" t="s">
        <v>933</v>
      </c>
      <c r="X407" s="21" t="s">
        <v>1359</v>
      </c>
      <c r="Y407" s="7" t="s">
        <v>340</v>
      </c>
      <c r="Z407" s="7" t="s">
        <v>340</v>
      </c>
      <c r="AA407" s="7" t="s">
        <v>340</v>
      </c>
      <c r="AB407" s="5" t="s">
        <v>340</v>
      </c>
      <c r="AC407" s="7">
        <v>17560</v>
      </c>
      <c r="AD407" s="7">
        <v>880</v>
      </c>
      <c r="AE407" s="7">
        <v>19164</v>
      </c>
      <c r="AF407" s="7">
        <v>92</v>
      </c>
      <c r="AG407" s="7" t="s">
        <v>340</v>
      </c>
      <c r="AH407" s="5">
        <v>1</v>
      </c>
      <c r="AI407" s="5">
        <v>1</v>
      </c>
      <c r="AJ407" s="9">
        <f>IF(AND(ISNUMBER(F407),ISNUMBER(G407),ISNUMBER(K407),ISNUMBER(L407)),ACOS(MIN(1,COS(RADIANS(90-F407))*COS(RADIANS(90-K407))+SIN(RADIANS(90-F407))*SIN(RADIANS(90-K407))*COS(RADIANS(G407-L407))))*6371,"N/A")</f>
        <v>99.91308978704707</v>
      </c>
      <c r="AK407" s="10">
        <f>IF(AND(ISNUMBER(F407),ISNUMBER(G407),ISNUMBER(K407),ISNUMBER(L407)),MOD(DEGREES(ATAN2(COS(RADIANS(K407))*SIN(RADIANS(F407))-SIN(RADIANS(K407))*COS(RADIANS(F407))*COS(RADIANS(G407-L407)),SIN(RADIANS(G407-L407))*COS(RADIANS(F407))))+360,360),"N/A")</f>
        <v>82.576120676736537</v>
      </c>
      <c r="AL407" s="10" t="str">
        <f>IF(AND(ISNUMBER(F407),ISNUMBER(G407),ISNUMBER(M407),ISNUMBER(N407)),ACOS(MIN(1,COS(RADIANS(90-F407))*COS(RADIANS(90-M407))+SIN(RADIANS(90-F407))*SIN(RADIANS(90-M407))*COS(RADIANS(G407-N407))))*6371,"N/A")</f>
        <v>N/A</v>
      </c>
      <c r="AM407" s="10" t="str">
        <f>IF(AND(ISNUMBER(F407),ISNUMBER(G407),ISNUMBER(M407),ISNUMBER(N407)),MOD(DEGREES(ATAN2(COS(RADIANS(M407))*SIN(RADIANS(F407))-SIN(RADIANS(M407))*COS(RADIANS(F407))*COS(RADIANS(G407-N407)),SIN(RADIANS(G407-N407))*COS(RADIANS(F407))))+360,360),"N/A")</f>
        <v>N/A</v>
      </c>
      <c r="AN407" s="2"/>
      <c r="AO407" s="2"/>
    </row>
    <row r="408" spans="1:41" x14ac:dyDescent="0.2">
      <c r="A408" s="4" t="s">
        <v>277</v>
      </c>
      <c r="B408" s="4" t="s">
        <v>47</v>
      </c>
      <c r="C408" s="5">
        <v>600</v>
      </c>
      <c r="D408" s="4" t="s">
        <v>32</v>
      </c>
      <c r="E408" s="4" t="s">
        <v>48</v>
      </c>
      <c r="F408" s="15">
        <v>40.931100000000001</v>
      </c>
      <c r="G408" s="15">
        <v>15.605399999999999</v>
      </c>
      <c r="H408" s="16">
        <v>656</v>
      </c>
      <c r="I408" s="4" t="s">
        <v>893</v>
      </c>
      <c r="J408" s="4" t="s">
        <v>16</v>
      </c>
      <c r="K408" s="6">
        <v>40.820999999999998</v>
      </c>
      <c r="L408" s="6">
        <v>14.426</v>
      </c>
      <c r="M408" s="5" t="s">
        <v>340</v>
      </c>
      <c r="N408" s="5" t="s">
        <v>340</v>
      </c>
      <c r="O408" s="4" t="s">
        <v>873</v>
      </c>
      <c r="P408" s="5">
        <v>12</v>
      </c>
      <c r="Q408" s="5">
        <v>9999</v>
      </c>
      <c r="R408" s="4" t="s">
        <v>41</v>
      </c>
      <c r="S408" s="4" t="s">
        <v>910</v>
      </c>
      <c r="T408" s="12">
        <v>8723</v>
      </c>
      <c r="U408" s="7">
        <v>8866</v>
      </c>
      <c r="V408" s="12">
        <v>9009</v>
      </c>
      <c r="W408" s="15" t="s">
        <v>1351</v>
      </c>
      <c r="X408" s="21" t="s">
        <v>1360</v>
      </c>
      <c r="Y408" s="7">
        <v>8010</v>
      </c>
      <c r="Z408" s="7">
        <v>35</v>
      </c>
      <c r="AA408" s="7" t="s">
        <v>340</v>
      </c>
      <c r="AB408" s="5" t="s">
        <v>340</v>
      </c>
      <c r="AC408" s="7">
        <v>9680</v>
      </c>
      <c r="AD408" s="7">
        <v>480</v>
      </c>
      <c r="AE408" s="7" t="s">
        <v>340</v>
      </c>
      <c r="AF408" s="7" t="s">
        <v>340</v>
      </c>
      <c r="AG408" s="7" t="s">
        <v>340</v>
      </c>
      <c r="AH408" s="5">
        <v>1</v>
      </c>
      <c r="AI408" s="5">
        <v>1</v>
      </c>
      <c r="AJ408" s="9">
        <f>IF(AND(ISNUMBER(F408),ISNUMBER(G408),ISNUMBER(K408),ISNUMBER(L408)),ACOS(MIN(1,COS(RADIANS(90-F408))*COS(RADIANS(90-K408))+SIN(RADIANS(90-F408))*SIN(RADIANS(90-K408))*COS(RADIANS(G408-L408))))*6371,"N/A")</f>
        <v>99.91308978704707</v>
      </c>
      <c r="AK408" s="10">
        <f>IF(AND(ISNUMBER(F408),ISNUMBER(G408),ISNUMBER(K408),ISNUMBER(L408)),MOD(DEGREES(ATAN2(COS(RADIANS(K408))*SIN(RADIANS(F408))-SIN(RADIANS(K408))*COS(RADIANS(F408))*COS(RADIANS(G408-L408)),SIN(RADIANS(G408-L408))*COS(RADIANS(F408))))+360,360),"N/A")</f>
        <v>82.576120676736537</v>
      </c>
      <c r="AL408" s="10" t="str">
        <f>IF(AND(ISNUMBER(F408),ISNUMBER(G408),ISNUMBER(M408),ISNUMBER(N408)),ACOS(MIN(1,COS(RADIANS(90-F408))*COS(RADIANS(90-M408))+SIN(RADIANS(90-F408))*SIN(RADIANS(90-M408))*COS(RADIANS(G408-N408))))*6371,"N/A")</f>
        <v>N/A</v>
      </c>
      <c r="AM408" s="10" t="str">
        <f>IF(AND(ISNUMBER(F408),ISNUMBER(G408),ISNUMBER(M408),ISNUMBER(N408)),MOD(DEGREES(ATAN2(COS(RADIANS(M408))*SIN(RADIANS(F408))-SIN(RADIANS(M408))*COS(RADIANS(F408))*COS(RADIANS(G408-N408)),SIN(RADIANS(G408-N408))*COS(RADIANS(F408))))+360,360),"N/A")</f>
        <v>N/A</v>
      </c>
      <c r="AN408" s="2"/>
      <c r="AO408" s="2"/>
    </row>
    <row r="409" spans="1:41" x14ac:dyDescent="0.2">
      <c r="A409" s="4" t="s">
        <v>258</v>
      </c>
      <c r="B409" s="4" t="s">
        <v>47</v>
      </c>
      <c r="C409" s="5">
        <v>600</v>
      </c>
      <c r="D409" s="4" t="s">
        <v>32</v>
      </c>
      <c r="E409" s="4" t="s">
        <v>48</v>
      </c>
      <c r="F409" s="15">
        <v>40.931100000000001</v>
      </c>
      <c r="G409" s="15">
        <v>15.605399999999999</v>
      </c>
      <c r="H409" s="16">
        <v>656</v>
      </c>
      <c r="I409" s="4" t="s">
        <v>893</v>
      </c>
      <c r="J409" s="4" t="s">
        <v>16</v>
      </c>
      <c r="K409" s="6">
        <v>40.820999999999998</v>
      </c>
      <c r="L409" s="6">
        <v>14.426</v>
      </c>
      <c r="M409" s="5" t="s">
        <v>340</v>
      </c>
      <c r="N409" s="5" t="s">
        <v>340</v>
      </c>
      <c r="O409" s="4" t="s">
        <v>295</v>
      </c>
      <c r="P409" s="5">
        <v>22</v>
      </c>
      <c r="Q409" s="5">
        <v>9999</v>
      </c>
      <c r="R409" s="4" t="s">
        <v>41</v>
      </c>
      <c r="S409" s="4" t="s">
        <v>1121</v>
      </c>
      <c r="T409" s="7">
        <v>21147</v>
      </c>
      <c r="U409" s="7">
        <v>21840</v>
      </c>
      <c r="V409" s="7">
        <v>22339</v>
      </c>
      <c r="W409" s="15" t="s">
        <v>1329</v>
      </c>
      <c r="X409" s="15" t="s">
        <v>1050</v>
      </c>
      <c r="Y409" s="7">
        <v>18220</v>
      </c>
      <c r="Z409" s="7">
        <v>140</v>
      </c>
      <c r="AA409" s="7" t="s">
        <v>340</v>
      </c>
      <c r="AB409" s="5" t="s">
        <v>340</v>
      </c>
      <c r="AC409" s="7">
        <v>19280</v>
      </c>
      <c r="AD409" s="7">
        <v>960</v>
      </c>
      <c r="AE409" s="7">
        <v>21840</v>
      </c>
      <c r="AF409" s="7" t="s">
        <v>938</v>
      </c>
      <c r="AG409" s="7" t="s">
        <v>340</v>
      </c>
      <c r="AH409" s="5">
        <v>1</v>
      </c>
      <c r="AI409" s="5">
        <v>1</v>
      </c>
      <c r="AJ409" s="9">
        <f>IF(AND(ISNUMBER(F409),ISNUMBER(G409),ISNUMBER(K409),ISNUMBER(L409)),ACOS(MIN(1,COS(RADIANS(90-F409))*COS(RADIANS(90-K409))+SIN(RADIANS(90-F409))*SIN(RADIANS(90-K409))*COS(RADIANS(G409-L409))))*6371,"N/A")</f>
        <v>99.91308978704707</v>
      </c>
      <c r="AK409" s="10">
        <f>IF(AND(ISNUMBER(F409),ISNUMBER(G409),ISNUMBER(K409),ISNUMBER(L409)),MOD(DEGREES(ATAN2(COS(RADIANS(K409))*SIN(RADIANS(F409))-SIN(RADIANS(K409))*COS(RADIANS(F409))*COS(RADIANS(G409-L409)),SIN(RADIANS(G409-L409))*COS(RADIANS(F409))))+360,360),"N/A")</f>
        <v>82.576120676736537</v>
      </c>
      <c r="AL409" s="10" t="str">
        <f>IF(AND(ISNUMBER(F409),ISNUMBER(G409),ISNUMBER(M409),ISNUMBER(N409)),ACOS(MIN(1,COS(RADIANS(90-F409))*COS(RADIANS(90-M409))+SIN(RADIANS(90-F409))*SIN(RADIANS(90-M409))*COS(RADIANS(G409-N409))))*6371,"N/A")</f>
        <v>N/A</v>
      </c>
      <c r="AM409" s="10" t="str">
        <f>IF(AND(ISNUMBER(F409),ISNUMBER(G409),ISNUMBER(M409),ISNUMBER(N409)),MOD(DEGREES(ATAN2(COS(RADIANS(M409))*SIN(RADIANS(F409))-SIN(RADIANS(M409))*COS(RADIANS(F409))*COS(RADIANS(G409-N409)),SIN(RADIANS(G409-N409))*COS(RADIANS(F409))))+360,360),"N/A")</f>
        <v>N/A</v>
      </c>
      <c r="AN409" s="2"/>
      <c r="AO409" s="2"/>
    </row>
    <row r="410" spans="1:41" x14ac:dyDescent="0.2">
      <c r="A410" s="4" t="s">
        <v>264</v>
      </c>
      <c r="B410" s="4" t="s">
        <v>47</v>
      </c>
      <c r="C410" s="5">
        <v>600</v>
      </c>
      <c r="D410" s="4" t="s">
        <v>32</v>
      </c>
      <c r="E410" s="4" t="s">
        <v>48</v>
      </c>
      <c r="F410" s="15">
        <v>40.931100000000001</v>
      </c>
      <c r="G410" s="15">
        <v>15.605399999999999</v>
      </c>
      <c r="H410" s="16">
        <v>656</v>
      </c>
      <c r="I410" s="4" t="s">
        <v>893</v>
      </c>
      <c r="J410" s="4" t="s">
        <v>150</v>
      </c>
      <c r="K410" s="6">
        <v>40.729999999999997</v>
      </c>
      <c r="L410" s="6">
        <v>13.897</v>
      </c>
      <c r="M410" s="5" t="s">
        <v>340</v>
      </c>
      <c r="N410" s="5" t="s">
        <v>340</v>
      </c>
      <c r="O410" s="4" t="s">
        <v>1049</v>
      </c>
      <c r="P410" s="5">
        <v>10</v>
      </c>
      <c r="Q410" s="5">
        <v>9999</v>
      </c>
      <c r="R410" s="4" t="s">
        <v>41</v>
      </c>
      <c r="S410" s="4" t="s">
        <v>1121</v>
      </c>
      <c r="T410" s="12">
        <f>U410-790</f>
        <v>15030</v>
      </c>
      <c r="U410" s="12">
        <v>15820</v>
      </c>
      <c r="V410" s="12">
        <f>U410+790</f>
        <v>16610</v>
      </c>
      <c r="W410" s="21" t="s">
        <v>1118</v>
      </c>
      <c r="X410" s="21" t="s">
        <v>1319</v>
      </c>
      <c r="Y410" s="7" t="s">
        <v>340</v>
      </c>
      <c r="Z410" s="7" t="s">
        <v>340</v>
      </c>
      <c r="AA410" s="7">
        <v>17800</v>
      </c>
      <c r="AB410" s="5">
        <v>3200</v>
      </c>
      <c r="AC410" s="7">
        <v>15820</v>
      </c>
      <c r="AD410" s="7">
        <v>790</v>
      </c>
      <c r="AE410" s="7" t="s">
        <v>340</v>
      </c>
      <c r="AF410" s="7" t="s">
        <v>340</v>
      </c>
      <c r="AG410" s="7" t="s">
        <v>340</v>
      </c>
      <c r="AH410" s="5">
        <v>1</v>
      </c>
      <c r="AI410" s="5">
        <v>1</v>
      </c>
      <c r="AJ410" s="9">
        <f>IF(AND(ISNUMBER(F410),ISNUMBER(G410),ISNUMBER(K410),ISNUMBER(L410)),ACOS(MIN(1,COS(RADIANS(90-F410))*COS(RADIANS(90-K410))+SIN(RADIANS(90-F410))*SIN(RADIANS(90-K410))*COS(RADIANS(G410-L410))))*6371,"N/A")</f>
        <v>145.4631770282312</v>
      </c>
      <c r="AK410" s="10">
        <f>IF(AND(ISNUMBER(F410),ISNUMBER(G410),ISNUMBER(K410),ISNUMBER(L410)),MOD(DEGREES(ATAN2(COS(RADIANS(K410))*SIN(RADIANS(F410))-SIN(RADIANS(K410))*COS(RADIANS(F410))*COS(RADIANS(G410-L410)),SIN(RADIANS(G410-L410))*COS(RADIANS(F410))))+360,360),"N/A")</f>
        <v>80.599433334981825</v>
      </c>
      <c r="AL410" s="10" t="str">
        <f>IF(AND(ISNUMBER(F410),ISNUMBER(G410),ISNUMBER(M410),ISNUMBER(N410)),ACOS(MIN(1,COS(RADIANS(90-F410))*COS(RADIANS(90-M410))+SIN(RADIANS(90-F410))*SIN(RADIANS(90-M410))*COS(RADIANS(G410-N410))))*6371,"N/A")</f>
        <v>N/A</v>
      </c>
      <c r="AM410" s="10" t="str">
        <f>IF(AND(ISNUMBER(F410),ISNUMBER(G410),ISNUMBER(M410),ISNUMBER(N410)),MOD(DEGREES(ATAN2(COS(RADIANS(M410))*SIN(RADIANS(F410))-SIN(RADIANS(M410))*COS(RADIANS(F410))*COS(RADIANS(G410-N410)),SIN(RADIANS(G410-N410))*COS(RADIANS(F410))))+360,360),"N/A")</f>
        <v>N/A</v>
      </c>
      <c r="AN410" s="2"/>
      <c r="AO410" s="2"/>
    </row>
    <row r="411" spans="1:41" x14ac:dyDescent="0.2">
      <c r="A411" s="4" t="s">
        <v>627</v>
      </c>
      <c r="B411" s="4" t="s">
        <v>604</v>
      </c>
      <c r="C411" s="5" t="s">
        <v>340</v>
      </c>
      <c r="D411" s="4" t="s">
        <v>29</v>
      </c>
      <c r="E411" s="4" t="s">
        <v>605</v>
      </c>
      <c r="F411" s="15">
        <v>40.973332999999997</v>
      </c>
      <c r="G411" s="15">
        <v>24.223889</v>
      </c>
      <c r="H411" s="16">
        <v>40</v>
      </c>
      <c r="I411" s="4" t="s">
        <v>628</v>
      </c>
      <c r="J411" s="4" t="s">
        <v>53</v>
      </c>
      <c r="K411" s="6">
        <v>38.49</v>
      </c>
      <c r="L411" s="6">
        <v>14.933</v>
      </c>
      <c r="M411" s="5" t="s">
        <v>340</v>
      </c>
      <c r="N411" s="5" t="s">
        <v>340</v>
      </c>
      <c r="O411" s="4" t="s">
        <v>444</v>
      </c>
      <c r="P411" s="5" t="s">
        <v>165</v>
      </c>
      <c r="Q411" s="5" t="s">
        <v>1055</v>
      </c>
      <c r="R411" s="4" t="s">
        <v>184</v>
      </c>
      <c r="S411" s="4" t="s">
        <v>629</v>
      </c>
      <c r="T411" s="7">
        <v>7839</v>
      </c>
      <c r="U411" s="7">
        <v>8064</v>
      </c>
      <c r="V411" s="7">
        <v>8288</v>
      </c>
      <c r="W411" s="15" t="s">
        <v>1347</v>
      </c>
      <c r="X411" s="15" t="s">
        <v>1363</v>
      </c>
      <c r="Y411" s="7">
        <v>7770</v>
      </c>
      <c r="Z411" s="7">
        <v>70</v>
      </c>
      <c r="AA411" s="7" t="s">
        <v>340</v>
      </c>
      <c r="AB411" s="5" t="s">
        <v>340</v>
      </c>
      <c r="AC411" s="7" t="s">
        <v>340</v>
      </c>
      <c r="AD411" s="7" t="s">
        <v>340</v>
      </c>
      <c r="AE411" s="7" t="s">
        <v>340</v>
      </c>
      <c r="AF411" s="7" t="s">
        <v>340</v>
      </c>
      <c r="AG411" s="7" t="s">
        <v>340</v>
      </c>
      <c r="AH411" s="5">
        <v>1</v>
      </c>
      <c r="AI411" s="5">
        <v>2</v>
      </c>
      <c r="AJ411" s="9">
        <f>IF(AND(ISNUMBER(F411),ISNUMBER(G411),ISNUMBER(K411),ISNUMBER(L411)),ACOS(MIN(1,COS(RADIANS(90-F411))*COS(RADIANS(90-K411))+SIN(RADIANS(90-F411))*SIN(RADIANS(90-K411))*COS(RADIANS(G411-L411))))*6371,"N/A")</f>
        <v>840.60297898716613</v>
      </c>
      <c r="AK411" s="10">
        <f>IF(AND(ISNUMBER(F411),ISNUMBER(G411),ISNUMBER(K411),ISNUMBER(L411)),MOD(DEGREES(ATAN2(COS(RADIANS(K411))*SIN(RADIANS(F411))-SIN(RADIANS(K411))*COS(RADIANS(F411))*COS(RADIANS(G411-L411)),SIN(RADIANS(G411-L411))*COS(RADIANS(F411))))+360,360),"N/A")</f>
        <v>67.901245642015738</v>
      </c>
      <c r="AL411" s="10" t="str">
        <f>IF(AND(ISNUMBER(F411),ISNUMBER(G411),ISNUMBER(M411),ISNUMBER(N411)),ACOS(MIN(1,COS(RADIANS(90-F411))*COS(RADIANS(90-M411))+SIN(RADIANS(90-F411))*SIN(RADIANS(90-M411))*COS(RADIANS(G411-N411))))*6371,"N/A")</f>
        <v>N/A</v>
      </c>
      <c r="AM411" s="10" t="str">
        <f>IF(AND(ISNUMBER(F411),ISNUMBER(G411),ISNUMBER(M411),ISNUMBER(N411)),MOD(DEGREES(ATAN2(COS(RADIANS(M411))*SIN(RADIANS(F411))-SIN(RADIANS(M411))*COS(RADIANS(F411))*COS(RADIANS(G411-N411)),SIN(RADIANS(G411-N411))*COS(RADIANS(F411))))+360,360),"N/A")</f>
        <v>N/A</v>
      </c>
      <c r="AN411" s="2"/>
      <c r="AO411" s="2"/>
    </row>
    <row r="412" spans="1:41" x14ac:dyDescent="0.2">
      <c r="A412" s="4" t="s">
        <v>178</v>
      </c>
      <c r="B412" s="4" t="s">
        <v>176</v>
      </c>
      <c r="C412" s="5" t="s">
        <v>340</v>
      </c>
      <c r="D412" s="4" t="s">
        <v>29</v>
      </c>
      <c r="E412" s="4" t="s">
        <v>105</v>
      </c>
      <c r="F412" s="15">
        <v>36.1462</v>
      </c>
      <c r="G412" s="15">
        <v>25.564299999999999</v>
      </c>
      <c r="H412" s="16" t="s">
        <v>340</v>
      </c>
      <c r="I412" s="4" t="s">
        <v>573</v>
      </c>
      <c r="J412" s="4" t="s">
        <v>241</v>
      </c>
      <c r="K412" s="6">
        <v>36.404000000000003</v>
      </c>
      <c r="L412" s="6">
        <v>25.396000000000001</v>
      </c>
      <c r="M412" s="5" t="s">
        <v>340</v>
      </c>
      <c r="N412" s="5" t="s">
        <v>340</v>
      </c>
      <c r="O412" s="4" t="s">
        <v>246</v>
      </c>
      <c r="P412" s="5">
        <v>46</v>
      </c>
      <c r="Q412" s="5">
        <v>9999</v>
      </c>
      <c r="R412" s="4" t="s">
        <v>41</v>
      </c>
      <c r="S412" s="4" t="s">
        <v>574</v>
      </c>
      <c r="T412" s="7">
        <v>21353</v>
      </c>
      <c r="U412" s="7">
        <v>22170</v>
      </c>
      <c r="V412" s="7">
        <v>22575</v>
      </c>
      <c r="W412" s="15" t="s">
        <v>933</v>
      </c>
      <c r="X412" s="15" t="s">
        <v>1358</v>
      </c>
      <c r="Y412" s="7" t="s">
        <v>340</v>
      </c>
      <c r="Z412" s="7" t="s">
        <v>340</v>
      </c>
      <c r="AA412" s="7" t="s">
        <v>340</v>
      </c>
      <c r="AB412" s="5" t="s">
        <v>340</v>
      </c>
      <c r="AC412" s="7" t="s">
        <v>340</v>
      </c>
      <c r="AD412" s="7" t="s">
        <v>340</v>
      </c>
      <c r="AE412" s="7">
        <v>22101</v>
      </c>
      <c r="AF412" s="7">
        <v>308</v>
      </c>
      <c r="AG412" s="7" t="s">
        <v>340</v>
      </c>
      <c r="AH412" s="5">
        <v>1</v>
      </c>
      <c r="AI412" s="5">
        <v>1</v>
      </c>
      <c r="AJ412" s="9">
        <f>IF(AND(ISNUMBER(F412),ISNUMBER(G412),ISNUMBER(K412),ISNUMBER(L412)),ACOS(MIN(1,COS(RADIANS(90-F412))*COS(RADIANS(90-K412))+SIN(RADIANS(90-F412))*SIN(RADIANS(90-K412))*COS(RADIANS(G412-L412))))*6371,"N/A")</f>
        <v>32.393830899790608</v>
      </c>
      <c r="AK412" s="10">
        <f>IF(AND(ISNUMBER(F412),ISNUMBER(G412),ISNUMBER(K412),ISNUMBER(L412)),MOD(DEGREES(ATAN2(COS(RADIANS(K412))*SIN(RADIANS(F412))-SIN(RADIANS(K412))*COS(RADIANS(F412))*COS(RADIANS(G412-L412)),SIN(RADIANS(G412-L412))*COS(RADIANS(F412))))+360,360),"N/A")</f>
        <v>152.19218962943364</v>
      </c>
      <c r="AL412" s="10" t="str">
        <f>IF(AND(ISNUMBER(F412),ISNUMBER(G412),ISNUMBER(M412),ISNUMBER(N412)),ACOS(MIN(1,COS(RADIANS(90-F412))*COS(RADIANS(90-M412))+SIN(RADIANS(90-F412))*SIN(RADIANS(90-M412))*COS(RADIANS(G412-N412))))*6371,"N/A")</f>
        <v>N/A</v>
      </c>
      <c r="AM412" s="10" t="str">
        <f>IF(AND(ISNUMBER(F412),ISNUMBER(G412),ISNUMBER(M412),ISNUMBER(N412)),MOD(DEGREES(ATAN2(COS(RADIANS(M412))*SIN(RADIANS(F412))-SIN(RADIANS(M412))*COS(RADIANS(F412))*COS(RADIANS(G412-N412)),SIN(RADIANS(G412-N412))*COS(RADIANS(F412))))+360,360),"N/A")</f>
        <v>N/A</v>
      </c>
      <c r="AN412" s="2"/>
      <c r="AO412" s="2"/>
    </row>
    <row r="413" spans="1:41" x14ac:dyDescent="0.2">
      <c r="A413" s="4" t="s">
        <v>177</v>
      </c>
      <c r="B413" s="4" t="s">
        <v>176</v>
      </c>
      <c r="C413" s="5" t="s">
        <v>340</v>
      </c>
      <c r="D413" s="4" t="s">
        <v>29</v>
      </c>
      <c r="E413" s="4" t="s">
        <v>105</v>
      </c>
      <c r="F413" s="15">
        <v>36.1462</v>
      </c>
      <c r="G413" s="15">
        <v>25.564299999999999</v>
      </c>
      <c r="H413" s="16" t="s">
        <v>340</v>
      </c>
      <c r="I413" s="4" t="s">
        <v>573</v>
      </c>
      <c r="J413" s="4" t="s">
        <v>241</v>
      </c>
      <c r="K413" s="6">
        <v>36.404000000000003</v>
      </c>
      <c r="L413" s="6">
        <v>25.396000000000001</v>
      </c>
      <c r="M413" s="5" t="s">
        <v>340</v>
      </c>
      <c r="N413" s="5" t="s">
        <v>340</v>
      </c>
      <c r="O413" s="4" t="s">
        <v>387</v>
      </c>
      <c r="P413" s="5">
        <v>46</v>
      </c>
      <c r="Q413" s="5">
        <v>9999</v>
      </c>
      <c r="R413" s="4" t="s">
        <v>41</v>
      </c>
      <c r="S413" s="4" t="s">
        <v>575</v>
      </c>
      <c r="T413" s="7">
        <v>3510</v>
      </c>
      <c r="U413" s="7">
        <v>3535</v>
      </c>
      <c r="V413" s="7">
        <v>3559</v>
      </c>
      <c r="W413" s="21" t="s">
        <v>935</v>
      </c>
      <c r="X413" s="21" t="s">
        <v>852</v>
      </c>
      <c r="Y413" s="7" t="s">
        <v>340</v>
      </c>
      <c r="Z413" s="7" t="s">
        <v>340</v>
      </c>
      <c r="AA413" s="7" t="s">
        <v>340</v>
      </c>
      <c r="AB413" s="5" t="s">
        <v>340</v>
      </c>
      <c r="AC413" s="7" t="s">
        <v>340</v>
      </c>
      <c r="AD413" s="7" t="s">
        <v>340</v>
      </c>
      <c r="AE413" s="7">
        <v>3535</v>
      </c>
      <c r="AF413" s="7">
        <v>25</v>
      </c>
      <c r="AG413" s="7" t="s">
        <v>340</v>
      </c>
      <c r="AH413" s="5">
        <v>1</v>
      </c>
      <c r="AI413" s="5">
        <v>1</v>
      </c>
      <c r="AJ413" s="9">
        <f>IF(AND(ISNUMBER(F413),ISNUMBER(G413),ISNUMBER(K413),ISNUMBER(L413)),ACOS(MIN(1,COS(RADIANS(90-F413))*COS(RADIANS(90-K413))+SIN(RADIANS(90-F413))*SIN(RADIANS(90-K413))*COS(RADIANS(G413-L413))))*6371,"N/A")</f>
        <v>32.393830899790608</v>
      </c>
      <c r="AK413" s="10">
        <f>IF(AND(ISNUMBER(F413),ISNUMBER(G413),ISNUMBER(K413),ISNUMBER(L413)),MOD(DEGREES(ATAN2(COS(RADIANS(K413))*SIN(RADIANS(F413))-SIN(RADIANS(K413))*COS(RADIANS(F413))*COS(RADIANS(G413-L413)),SIN(RADIANS(G413-L413))*COS(RADIANS(F413))))+360,360),"N/A")</f>
        <v>152.19218962943364</v>
      </c>
      <c r="AL413" s="10" t="str">
        <f>IF(AND(ISNUMBER(F413),ISNUMBER(G413),ISNUMBER(M413),ISNUMBER(N413)),ACOS(MIN(1,COS(RADIANS(90-F413))*COS(RADIANS(90-M413))+SIN(RADIANS(90-F413))*SIN(RADIANS(90-M413))*COS(RADIANS(G413-N413))))*6371,"N/A")</f>
        <v>N/A</v>
      </c>
      <c r="AM413" s="10" t="str">
        <f>IF(AND(ISNUMBER(F413),ISNUMBER(G413),ISNUMBER(M413),ISNUMBER(N413)),MOD(DEGREES(ATAN2(COS(RADIANS(M413))*SIN(RADIANS(F413))-SIN(RADIANS(M413))*COS(RADIANS(F413))*COS(RADIANS(G413-N413)),SIN(RADIANS(G413-N413))*COS(RADIANS(F413))))+360,360),"N/A")</f>
        <v>N/A</v>
      </c>
      <c r="AN413" s="2"/>
      <c r="AO413" s="2"/>
    </row>
    <row r="414" spans="1:41" x14ac:dyDescent="0.2">
      <c r="A414" s="4" t="s">
        <v>664</v>
      </c>
      <c r="B414" s="4" t="s">
        <v>666</v>
      </c>
      <c r="C414" s="5" t="s">
        <v>340</v>
      </c>
      <c r="D414" s="4" t="s">
        <v>70</v>
      </c>
      <c r="E414" s="4" t="s">
        <v>665</v>
      </c>
      <c r="F414" s="15">
        <v>39.834499999999998</v>
      </c>
      <c r="G414" s="15">
        <v>17.800799999999999</v>
      </c>
      <c r="H414" s="16">
        <v>-270</v>
      </c>
      <c r="I414" s="4" t="s">
        <v>661</v>
      </c>
      <c r="J414" s="4" t="s">
        <v>53</v>
      </c>
      <c r="K414" s="6">
        <v>38.49</v>
      </c>
      <c r="L414" s="6">
        <v>14.933</v>
      </c>
      <c r="M414" s="5" t="s">
        <v>340</v>
      </c>
      <c r="N414" s="5" t="s">
        <v>340</v>
      </c>
      <c r="O414" s="4" t="s">
        <v>936</v>
      </c>
      <c r="P414" s="5" t="s">
        <v>340</v>
      </c>
      <c r="Q414" s="5" t="s">
        <v>340</v>
      </c>
      <c r="R414" s="4" t="s">
        <v>184</v>
      </c>
      <c r="S414" s="4" t="s">
        <v>1145</v>
      </c>
      <c r="T414" s="7">
        <v>997</v>
      </c>
      <c r="U414" s="7">
        <v>1158</v>
      </c>
      <c r="V414" s="7">
        <v>1319</v>
      </c>
      <c r="W414" s="15" t="s">
        <v>937</v>
      </c>
      <c r="X414" s="15" t="s">
        <v>661</v>
      </c>
      <c r="Y414" s="7" t="s">
        <v>340</v>
      </c>
      <c r="Z414" s="7" t="s">
        <v>340</v>
      </c>
      <c r="AA414" s="7" t="s">
        <v>340</v>
      </c>
      <c r="AB414" s="5" t="s">
        <v>340</v>
      </c>
      <c r="AC414" s="7" t="s">
        <v>340</v>
      </c>
      <c r="AD414" s="7" t="s">
        <v>340</v>
      </c>
      <c r="AE414" s="7" t="s">
        <v>1012</v>
      </c>
      <c r="AF414" s="7">
        <v>120</v>
      </c>
      <c r="AG414" s="7" t="s">
        <v>340</v>
      </c>
      <c r="AH414" s="5">
        <v>1</v>
      </c>
      <c r="AI414" s="5">
        <v>1</v>
      </c>
      <c r="AJ414" s="9">
        <f>IF(AND(ISNUMBER(F414),ISNUMBER(G414),ISNUMBER(K414),ISNUMBER(L414)),ACOS(MIN(1,COS(RADIANS(90-F414))*COS(RADIANS(90-K414))+SIN(RADIANS(90-F414))*SIN(RADIANS(90-K414))*COS(RADIANS(G414-L414))))*6371,"N/A")</f>
        <v>288.91206754393409</v>
      </c>
      <c r="AK414" s="10">
        <f>IF(AND(ISNUMBER(F414),ISNUMBER(G414),ISNUMBER(K414),ISNUMBER(L414)),MOD(DEGREES(ATAN2(COS(RADIANS(K414))*SIN(RADIANS(F414))-SIN(RADIANS(K414))*COS(RADIANS(F414))*COS(RADIANS(G414-L414)),SIN(RADIANS(G414-L414))*COS(RADIANS(F414))))+360,360),"N/A")</f>
        <v>57.940674214007345</v>
      </c>
      <c r="AL414" s="10" t="str">
        <f>IF(AND(ISNUMBER(F414),ISNUMBER(G414),ISNUMBER(M414),ISNUMBER(N414)),ACOS(MIN(1,COS(RADIANS(90-F414))*COS(RADIANS(90-M414))+SIN(RADIANS(90-F414))*SIN(RADIANS(90-M414))*COS(RADIANS(G414-N414))))*6371,"N/A")</f>
        <v>N/A</v>
      </c>
      <c r="AM414" s="10" t="str">
        <f>IF(AND(ISNUMBER(F414),ISNUMBER(G414),ISNUMBER(M414),ISNUMBER(N414)),MOD(DEGREES(ATAN2(COS(RADIANS(M414))*SIN(RADIANS(F414))-SIN(RADIANS(M414))*COS(RADIANS(F414))*COS(RADIANS(G414-N414)),SIN(RADIANS(G414-N414))*COS(RADIANS(F414))))+360,360),"N/A")</f>
        <v>N/A</v>
      </c>
      <c r="AN414" s="2"/>
      <c r="AO414" s="2"/>
    </row>
    <row r="415" spans="1:41" x14ac:dyDescent="0.2">
      <c r="A415" s="4" t="s">
        <v>667</v>
      </c>
      <c r="B415" s="4" t="s">
        <v>666</v>
      </c>
      <c r="C415" s="5" t="s">
        <v>340</v>
      </c>
      <c r="D415" s="4" t="s">
        <v>70</v>
      </c>
      <c r="E415" s="4" t="s">
        <v>665</v>
      </c>
      <c r="F415" s="15">
        <v>39.834499999999998</v>
      </c>
      <c r="G415" s="15">
        <v>17.800799999999999</v>
      </c>
      <c r="H415" s="16">
        <v>-270</v>
      </c>
      <c r="I415" s="4" t="s">
        <v>661</v>
      </c>
      <c r="J415" s="4" t="s">
        <v>1065</v>
      </c>
      <c r="K415" s="6">
        <v>38.49</v>
      </c>
      <c r="L415" s="6">
        <v>14.933</v>
      </c>
      <c r="M415" s="5">
        <v>40.820999999999998</v>
      </c>
      <c r="N415" s="5">
        <v>14.426</v>
      </c>
      <c r="O415" s="4" t="s">
        <v>1066</v>
      </c>
      <c r="P415" s="5" t="s">
        <v>340</v>
      </c>
      <c r="Q415" s="5" t="s">
        <v>340</v>
      </c>
      <c r="R415" s="4" t="s">
        <v>184</v>
      </c>
      <c r="S415" s="4" t="s">
        <v>1146</v>
      </c>
      <c r="T415" s="7">
        <v>1250</v>
      </c>
      <c r="U415" s="7">
        <v>1381</v>
      </c>
      <c r="V415" s="7">
        <v>1511</v>
      </c>
      <c r="W415" s="15" t="s">
        <v>1119</v>
      </c>
      <c r="X415" s="15" t="s">
        <v>661</v>
      </c>
      <c r="Y415" s="7" t="s">
        <v>340</v>
      </c>
      <c r="Z415" s="7" t="s">
        <v>340</v>
      </c>
      <c r="AA415" s="7" t="s">
        <v>340</v>
      </c>
      <c r="AB415" s="5" t="s">
        <v>340</v>
      </c>
      <c r="AC415" s="7" t="s">
        <v>340</v>
      </c>
      <c r="AD415" s="7" t="s">
        <v>340</v>
      </c>
      <c r="AE415" s="7" t="s">
        <v>1009</v>
      </c>
      <c r="AF415" s="7">
        <v>120</v>
      </c>
      <c r="AG415" s="7" t="s">
        <v>668</v>
      </c>
      <c r="AH415" s="5">
        <v>1</v>
      </c>
      <c r="AI415" s="5">
        <v>2</v>
      </c>
      <c r="AJ415" s="9">
        <f>IF(AND(ISNUMBER(F415),ISNUMBER(G415),ISNUMBER(K415),ISNUMBER(L415)),ACOS(MIN(1,COS(RADIANS(90-F415))*COS(RADIANS(90-K415))+SIN(RADIANS(90-F415))*SIN(RADIANS(90-K415))*COS(RADIANS(G415-L415))))*6371,"N/A")</f>
        <v>288.91206754393409</v>
      </c>
      <c r="AK415" s="10">
        <f>IF(AND(ISNUMBER(F415),ISNUMBER(G415),ISNUMBER(K415),ISNUMBER(L415)),MOD(DEGREES(ATAN2(COS(RADIANS(K415))*SIN(RADIANS(F415))-SIN(RADIANS(K415))*COS(RADIANS(F415))*COS(RADIANS(G415-L415)),SIN(RADIANS(G415-L415))*COS(RADIANS(F415))))+360,360),"N/A")</f>
        <v>57.940674214007345</v>
      </c>
      <c r="AL415" s="10">
        <f>IF(AND(ISNUMBER(F415),ISNUMBER(G415),ISNUMBER(M415),ISNUMBER(N415)),ACOS(MIN(1,COS(RADIANS(90-F415))*COS(RADIANS(90-M415))+SIN(RADIANS(90-F415))*SIN(RADIANS(90-M415))*COS(RADIANS(G415-N415))))*6371,"N/A")</f>
        <v>306.36453820373038</v>
      </c>
      <c r="AM415" s="10">
        <f>IF(AND(ISNUMBER(F415),ISNUMBER(G415),ISNUMBER(M415),ISNUMBER(N415)),MOD(DEGREES(ATAN2(COS(RADIANS(M415))*SIN(RADIANS(F415))-SIN(RADIANS(M415))*COS(RADIANS(F415))*COS(RADIANS(G415-N415)),SIN(RADIANS(G415-N415))*COS(RADIANS(F415))))+360,360),"N/A")</f>
        <v>109.88055964878441</v>
      </c>
      <c r="AN415" s="2"/>
      <c r="AO415" s="2"/>
    </row>
    <row r="416" spans="1:41" x14ac:dyDescent="0.2">
      <c r="A416" s="4" t="s">
        <v>662</v>
      </c>
      <c r="B416" s="4" t="s">
        <v>666</v>
      </c>
      <c r="C416" s="5" t="s">
        <v>340</v>
      </c>
      <c r="D416" s="4" t="s">
        <v>70</v>
      </c>
      <c r="E416" s="4" t="s">
        <v>665</v>
      </c>
      <c r="F416" s="15">
        <v>39.834499999999998</v>
      </c>
      <c r="G416" s="15">
        <v>17.800799999999999</v>
      </c>
      <c r="H416" s="16">
        <v>-270</v>
      </c>
      <c r="I416" s="4" t="s">
        <v>661</v>
      </c>
      <c r="J416" s="4" t="s">
        <v>1065</v>
      </c>
      <c r="K416" s="6">
        <v>38.49</v>
      </c>
      <c r="L416" s="6">
        <v>14.933</v>
      </c>
      <c r="M416" s="5">
        <v>40.820999999999998</v>
      </c>
      <c r="N416" s="5">
        <v>14.426</v>
      </c>
      <c r="O416" s="4" t="s">
        <v>1067</v>
      </c>
      <c r="P416" s="5" t="s">
        <v>340</v>
      </c>
      <c r="Q416" s="5" t="s">
        <v>340</v>
      </c>
      <c r="R416" s="4" t="s">
        <v>184</v>
      </c>
      <c r="S416" s="4" t="s">
        <v>1147</v>
      </c>
      <c r="T416" s="7">
        <v>1717</v>
      </c>
      <c r="U416" s="7">
        <v>1853</v>
      </c>
      <c r="V416" s="7">
        <v>1989</v>
      </c>
      <c r="W416" s="15" t="s">
        <v>1008</v>
      </c>
      <c r="X416" s="15" t="s">
        <v>661</v>
      </c>
      <c r="Y416" s="7" t="s">
        <v>340</v>
      </c>
      <c r="Z416" s="7" t="s">
        <v>340</v>
      </c>
      <c r="AA416" s="7" t="s">
        <v>340</v>
      </c>
      <c r="AB416" s="5" t="s">
        <v>340</v>
      </c>
      <c r="AC416" s="7" t="s">
        <v>340</v>
      </c>
      <c r="AD416" s="7" t="s">
        <v>340</v>
      </c>
      <c r="AE416" s="7" t="s">
        <v>1010</v>
      </c>
      <c r="AF416" s="7">
        <v>120</v>
      </c>
      <c r="AG416" s="7" t="s">
        <v>905</v>
      </c>
      <c r="AH416" s="5">
        <v>1</v>
      </c>
      <c r="AI416" s="5">
        <v>2</v>
      </c>
      <c r="AJ416" s="9">
        <f>IF(AND(ISNUMBER(F416),ISNUMBER(G416),ISNUMBER(K416),ISNUMBER(L416)),ACOS(MIN(1,COS(RADIANS(90-F416))*COS(RADIANS(90-K416))+SIN(RADIANS(90-F416))*SIN(RADIANS(90-K416))*COS(RADIANS(G416-L416))))*6371,"N/A")</f>
        <v>288.91206754393409</v>
      </c>
      <c r="AK416" s="10">
        <f>IF(AND(ISNUMBER(F416),ISNUMBER(G416),ISNUMBER(K416),ISNUMBER(L416)),MOD(DEGREES(ATAN2(COS(RADIANS(K416))*SIN(RADIANS(F416))-SIN(RADIANS(K416))*COS(RADIANS(F416))*COS(RADIANS(G416-L416)),SIN(RADIANS(G416-L416))*COS(RADIANS(F416))))+360,360),"N/A")</f>
        <v>57.940674214007345</v>
      </c>
      <c r="AL416" s="10">
        <f>IF(AND(ISNUMBER(F416),ISNUMBER(G416),ISNUMBER(M416),ISNUMBER(N416)),ACOS(MIN(1,COS(RADIANS(90-F416))*COS(RADIANS(90-M416))+SIN(RADIANS(90-F416))*SIN(RADIANS(90-M416))*COS(RADIANS(G416-N416))))*6371,"N/A")</f>
        <v>306.36453820373038</v>
      </c>
      <c r="AM416" s="10">
        <f>IF(AND(ISNUMBER(F416),ISNUMBER(G416),ISNUMBER(M416),ISNUMBER(N416)),MOD(DEGREES(ATAN2(COS(RADIANS(M416))*SIN(RADIANS(F416))-SIN(RADIANS(M416))*COS(RADIANS(F416))*COS(RADIANS(G416-N416)),SIN(RADIANS(G416-N416))*COS(RADIANS(F416))))+360,360),"N/A")</f>
        <v>109.88055964878441</v>
      </c>
      <c r="AN416" s="2"/>
      <c r="AO416" s="2"/>
    </row>
    <row r="417" spans="1:41" x14ac:dyDescent="0.2">
      <c r="A417" s="4" t="s">
        <v>663</v>
      </c>
      <c r="B417" s="4" t="s">
        <v>666</v>
      </c>
      <c r="C417" s="5" t="s">
        <v>340</v>
      </c>
      <c r="D417" s="4" t="s">
        <v>70</v>
      </c>
      <c r="E417" s="4" t="s">
        <v>665</v>
      </c>
      <c r="F417" s="15">
        <v>39.834499999999998</v>
      </c>
      <c r="G417" s="15">
        <v>17.800799999999999</v>
      </c>
      <c r="H417" s="16">
        <v>-270</v>
      </c>
      <c r="I417" s="4" t="s">
        <v>661</v>
      </c>
      <c r="J417" s="4" t="s">
        <v>53</v>
      </c>
      <c r="K417" s="6">
        <v>38.49</v>
      </c>
      <c r="L417" s="6">
        <v>14.933</v>
      </c>
      <c r="M417" s="5" t="s">
        <v>340</v>
      </c>
      <c r="N417" s="5" t="s">
        <v>340</v>
      </c>
      <c r="O417" s="4" t="s">
        <v>14</v>
      </c>
      <c r="P417" s="5" t="s">
        <v>340</v>
      </c>
      <c r="Q417" s="5" t="s">
        <v>340</v>
      </c>
      <c r="R417" s="4" t="s">
        <v>184</v>
      </c>
      <c r="S417" s="4" t="s">
        <v>1148</v>
      </c>
      <c r="T417" s="7">
        <v>1298</v>
      </c>
      <c r="U417" s="7">
        <v>1452</v>
      </c>
      <c r="V417" s="7">
        <v>1607</v>
      </c>
      <c r="W417" s="15" t="s">
        <v>915</v>
      </c>
      <c r="X417" s="15" t="s">
        <v>661</v>
      </c>
      <c r="Y417" s="7" t="s">
        <v>340</v>
      </c>
      <c r="Z417" s="7" t="s">
        <v>340</v>
      </c>
      <c r="AA417" s="7" t="s">
        <v>340</v>
      </c>
      <c r="AB417" s="5" t="s">
        <v>340</v>
      </c>
      <c r="AC417" s="7" t="s">
        <v>340</v>
      </c>
      <c r="AD417" s="7" t="s">
        <v>340</v>
      </c>
      <c r="AE417" s="7" t="s">
        <v>1011</v>
      </c>
      <c r="AF417" s="7">
        <v>120</v>
      </c>
      <c r="AG417" s="7" t="s">
        <v>340</v>
      </c>
      <c r="AH417" s="5">
        <v>1</v>
      </c>
      <c r="AI417" s="5">
        <v>1</v>
      </c>
      <c r="AJ417" s="9">
        <f>IF(AND(ISNUMBER(F417),ISNUMBER(G417),ISNUMBER(K417),ISNUMBER(L417)),ACOS(MIN(1,COS(RADIANS(90-F417))*COS(RADIANS(90-K417))+SIN(RADIANS(90-F417))*SIN(RADIANS(90-K417))*COS(RADIANS(G417-L417))))*6371,"N/A")</f>
        <v>288.91206754393409</v>
      </c>
      <c r="AK417" s="10">
        <f>IF(AND(ISNUMBER(F417),ISNUMBER(G417),ISNUMBER(K417),ISNUMBER(L417)),MOD(DEGREES(ATAN2(COS(RADIANS(K417))*SIN(RADIANS(F417))-SIN(RADIANS(K417))*COS(RADIANS(F417))*COS(RADIANS(G417-L417)),SIN(RADIANS(G417-L417))*COS(RADIANS(F417))))+360,360),"N/A")</f>
        <v>57.940674214007345</v>
      </c>
      <c r="AL417" s="10" t="str">
        <f>IF(AND(ISNUMBER(F417),ISNUMBER(G417),ISNUMBER(M417),ISNUMBER(N417)),ACOS(MIN(1,COS(RADIANS(90-F417))*COS(RADIANS(90-M417))+SIN(RADIANS(90-F417))*SIN(RADIANS(90-M417))*COS(RADIANS(G417-N417))))*6371,"N/A")</f>
        <v>N/A</v>
      </c>
      <c r="AM417" s="10" t="str">
        <f>IF(AND(ISNUMBER(F417),ISNUMBER(G417),ISNUMBER(M417),ISNUMBER(N417)),MOD(DEGREES(ATAN2(COS(RADIANS(M417))*SIN(RADIANS(F417))-SIN(RADIANS(M417))*COS(RADIANS(F417))*COS(RADIANS(G417-N417)),SIN(RADIANS(G417-N417))*COS(RADIANS(F417))))+360,360),"N/A")</f>
        <v>N/A</v>
      </c>
      <c r="AN417" s="2"/>
      <c r="AO417" s="2"/>
    </row>
  </sheetData>
  <sortState xmlns:xlrd2="http://schemas.microsoft.com/office/spreadsheetml/2017/richdata2" ref="A2:AM417">
    <sortCondition ref="I1:I417"/>
  </sortState>
  <phoneticPr fontId="1" type="noConversion"/>
  <pageMargins left="0.7" right="0.7" top="0.75" bottom="0.75" header="0.3" footer="0.3"/>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B225A-88A2-F94A-962E-737F932D977F}">
  <dimension ref="A1:AJ96"/>
  <sheetViews>
    <sheetView zoomScale="75" workbookViewId="0">
      <pane ySplit="1" topLeftCell="A10" activePane="bottomLeft" state="frozen"/>
      <selection pane="bottomLeft" activeCell="G61" sqref="G61"/>
    </sheetView>
  </sheetViews>
  <sheetFormatPr baseColWidth="10" defaultRowHeight="16" x14ac:dyDescent="0.2"/>
  <sheetData>
    <row r="1" spans="1:36" x14ac:dyDescent="0.2">
      <c r="A1" s="33" t="s">
        <v>13</v>
      </c>
      <c r="B1" s="36"/>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x14ac:dyDescent="0.2">
      <c r="A2" s="29" t="s">
        <v>1223</v>
      </c>
      <c r="B2" s="2"/>
    </row>
    <row r="3" spans="1:36" x14ac:dyDescent="0.2">
      <c r="A3" s="29" t="s">
        <v>1224</v>
      </c>
      <c r="B3" s="2"/>
    </row>
    <row r="4" spans="1:36" x14ac:dyDescent="0.2">
      <c r="A4" s="29" t="s">
        <v>1225</v>
      </c>
      <c r="B4" s="2"/>
    </row>
    <row r="5" spans="1:36" x14ac:dyDescent="0.2">
      <c r="A5" s="29" t="s">
        <v>1226</v>
      </c>
      <c r="B5" s="2"/>
    </row>
    <row r="6" spans="1:36" x14ac:dyDescent="0.2">
      <c r="A6" s="29" t="s">
        <v>1227</v>
      </c>
      <c r="B6" s="2"/>
    </row>
    <row r="7" spans="1:36" x14ac:dyDescent="0.2">
      <c r="A7" s="29" t="s">
        <v>1228</v>
      </c>
      <c r="B7" s="2"/>
    </row>
    <row r="8" spans="1:36" x14ac:dyDescent="0.2">
      <c r="A8" s="29" t="s">
        <v>1229</v>
      </c>
      <c r="B8" s="2"/>
    </row>
    <row r="9" spans="1:36" x14ac:dyDescent="0.2">
      <c r="A9" s="29" t="s">
        <v>1230</v>
      </c>
      <c r="B9" s="2"/>
    </row>
    <row r="10" spans="1:36" x14ac:dyDescent="0.2">
      <c r="A10" s="29" t="s">
        <v>1231</v>
      </c>
      <c r="B10" s="2"/>
    </row>
    <row r="11" spans="1:36" x14ac:dyDescent="0.2">
      <c r="A11" s="29" t="s">
        <v>1232</v>
      </c>
      <c r="B11" s="2"/>
    </row>
    <row r="12" spans="1:36" x14ac:dyDescent="0.2">
      <c r="A12" s="29" t="s">
        <v>1233</v>
      </c>
      <c r="B12" s="2"/>
    </row>
    <row r="13" spans="1:36" x14ac:dyDescent="0.2">
      <c r="A13" s="29" t="s">
        <v>1234</v>
      </c>
      <c r="B13" s="2"/>
    </row>
    <row r="14" spans="1:36" x14ac:dyDescent="0.2">
      <c r="A14" s="29" t="s">
        <v>1235</v>
      </c>
      <c r="B14" s="2"/>
    </row>
    <row r="15" spans="1:36" x14ac:dyDescent="0.2">
      <c r="A15" s="29" t="s">
        <v>1236</v>
      </c>
      <c r="B15" s="2"/>
    </row>
    <row r="16" spans="1:36" x14ac:dyDescent="0.2">
      <c r="A16" s="29" t="s">
        <v>1237</v>
      </c>
      <c r="B16" s="2"/>
    </row>
    <row r="17" spans="1:2" x14ac:dyDescent="0.2">
      <c r="A17" s="29" t="s">
        <v>1238</v>
      </c>
      <c r="B17" s="2"/>
    </row>
    <row r="18" spans="1:2" x14ac:dyDescent="0.2">
      <c r="A18" s="29" t="s">
        <v>1239</v>
      </c>
      <c r="B18" s="2"/>
    </row>
    <row r="19" spans="1:2" x14ac:dyDescent="0.2">
      <c r="A19" s="29" t="s">
        <v>1240</v>
      </c>
      <c r="B19" s="2"/>
    </row>
    <row r="20" spans="1:2" x14ac:dyDescent="0.2">
      <c r="A20" s="29" t="s">
        <v>1241</v>
      </c>
      <c r="B20" s="2"/>
    </row>
    <row r="21" spans="1:2" x14ac:dyDescent="0.2">
      <c r="A21" s="29" t="s">
        <v>1242</v>
      </c>
      <c r="B21" s="2"/>
    </row>
    <row r="22" spans="1:2" x14ac:dyDescent="0.2">
      <c r="A22" s="29" t="s">
        <v>1243</v>
      </c>
      <c r="B22" s="2"/>
    </row>
    <row r="23" spans="1:2" x14ac:dyDescent="0.2">
      <c r="A23" s="29" t="s">
        <v>1244</v>
      </c>
      <c r="B23" s="2"/>
    </row>
    <row r="24" spans="1:2" x14ac:dyDescent="0.2">
      <c r="A24" s="29" t="s">
        <v>1246</v>
      </c>
      <c r="B24" s="2"/>
    </row>
    <row r="25" spans="1:2" x14ac:dyDescent="0.2">
      <c r="A25" s="29" t="s">
        <v>1247</v>
      </c>
      <c r="B25" s="2"/>
    </row>
    <row r="26" spans="1:2" x14ac:dyDescent="0.2">
      <c r="A26" s="29" t="s">
        <v>1248</v>
      </c>
      <c r="B26" s="2"/>
    </row>
    <row r="27" spans="1:2" x14ac:dyDescent="0.2">
      <c r="A27" s="29" t="s">
        <v>1249</v>
      </c>
      <c r="B27" s="2"/>
    </row>
    <row r="28" spans="1:2" x14ac:dyDescent="0.2">
      <c r="A28" s="29" t="s">
        <v>1250</v>
      </c>
      <c r="B28" s="2"/>
    </row>
    <row r="29" spans="1:2" x14ac:dyDescent="0.2">
      <c r="A29" s="29" t="s">
        <v>1251</v>
      </c>
      <c r="B29" s="2"/>
    </row>
    <row r="30" spans="1:2" x14ac:dyDescent="0.2">
      <c r="A30" s="29" t="s">
        <v>1252</v>
      </c>
      <c r="B30" s="2"/>
    </row>
    <row r="31" spans="1:2" x14ac:dyDescent="0.2">
      <c r="A31" s="29" t="s">
        <v>1253</v>
      </c>
      <c r="B31" s="2"/>
    </row>
    <row r="32" spans="1:2" x14ac:dyDescent="0.2">
      <c r="A32" s="29" t="s">
        <v>1327</v>
      </c>
      <c r="B32" s="2"/>
    </row>
    <row r="33" spans="1:2" x14ac:dyDescent="0.2">
      <c r="A33" s="29" t="s">
        <v>1254</v>
      </c>
      <c r="B33" s="2"/>
    </row>
    <row r="34" spans="1:2" x14ac:dyDescent="0.2">
      <c r="A34" s="29" t="s">
        <v>1255</v>
      </c>
      <c r="B34" s="2"/>
    </row>
    <row r="35" spans="1:2" x14ac:dyDescent="0.2">
      <c r="A35" s="29" t="s">
        <v>1256</v>
      </c>
      <c r="B35" s="2"/>
    </row>
    <row r="36" spans="1:2" x14ac:dyDescent="0.2">
      <c r="A36" s="29" t="s">
        <v>1257</v>
      </c>
      <c r="B36" s="2"/>
    </row>
    <row r="37" spans="1:2" x14ac:dyDescent="0.2">
      <c r="A37" s="29" t="s">
        <v>1258</v>
      </c>
      <c r="B37" s="2"/>
    </row>
    <row r="38" spans="1:2" x14ac:dyDescent="0.2">
      <c r="A38" s="29" t="s">
        <v>1259</v>
      </c>
      <c r="B38" s="2"/>
    </row>
    <row r="39" spans="1:2" x14ac:dyDescent="0.2">
      <c r="A39" s="29" t="s">
        <v>1260</v>
      </c>
      <c r="B39" s="2"/>
    </row>
    <row r="40" spans="1:2" x14ac:dyDescent="0.2">
      <c r="A40" s="29" t="s">
        <v>1261</v>
      </c>
      <c r="B40" s="2"/>
    </row>
    <row r="41" spans="1:2" x14ac:dyDescent="0.2">
      <c r="A41" s="29" t="s">
        <v>1262</v>
      </c>
      <c r="B41" s="2"/>
    </row>
    <row r="42" spans="1:2" x14ac:dyDescent="0.2">
      <c r="A42" s="29" t="s">
        <v>1263</v>
      </c>
      <c r="B42" s="2"/>
    </row>
    <row r="43" spans="1:2" x14ac:dyDescent="0.2">
      <c r="A43" s="29" t="s">
        <v>1264</v>
      </c>
      <c r="B43" s="2"/>
    </row>
    <row r="44" spans="1:2" x14ac:dyDescent="0.2">
      <c r="A44" s="29" t="s">
        <v>1265</v>
      </c>
      <c r="B44" s="2"/>
    </row>
    <row r="45" spans="1:2" x14ac:dyDescent="0.2">
      <c r="A45" s="29" t="s">
        <v>1266</v>
      </c>
      <c r="B45" s="2"/>
    </row>
    <row r="46" spans="1:2" x14ac:dyDescent="0.2">
      <c r="A46" s="29" t="s">
        <v>1267</v>
      </c>
      <c r="B46" s="2"/>
    </row>
    <row r="47" spans="1:2" x14ac:dyDescent="0.2">
      <c r="A47" s="29" t="s">
        <v>1268</v>
      </c>
      <c r="B47" s="2"/>
    </row>
    <row r="48" spans="1:2" x14ac:dyDescent="0.2">
      <c r="A48" s="29" t="s">
        <v>1269</v>
      </c>
      <c r="B48" s="2"/>
    </row>
    <row r="49" spans="1:2" x14ac:dyDescent="0.2">
      <c r="A49" s="29" t="s">
        <v>1270</v>
      </c>
      <c r="B49" s="2"/>
    </row>
    <row r="50" spans="1:2" x14ac:dyDescent="0.2">
      <c r="A50" s="29" t="s">
        <v>1271</v>
      </c>
      <c r="B50" s="2"/>
    </row>
    <row r="51" spans="1:2" x14ac:dyDescent="0.2">
      <c r="A51" s="29" t="s">
        <v>1272</v>
      </c>
      <c r="B51" s="2"/>
    </row>
    <row r="52" spans="1:2" x14ac:dyDescent="0.2">
      <c r="A52" s="29" t="s">
        <v>1273</v>
      </c>
      <c r="B52" s="2"/>
    </row>
    <row r="53" spans="1:2" x14ac:dyDescent="0.2">
      <c r="A53" s="29" t="s">
        <v>1274</v>
      </c>
      <c r="B53" s="2"/>
    </row>
    <row r="54" spans="1:2" x14ac:dyDescent="0.2">
      <c r="A54" s="29" t="s">
        <v>1275</v>
      </c>
      <c r="B54" s="2"/>
    </row>
    <row r="55" spans="1:2" x14ac:dyDescent="0.2">
      <c r="A55" s="29" t="s">
        <v>1276</v>
      </c>
      <c r="B55" s="2"/>
    </row>
    <row r="56" spans="1:2" x14ac:dyDescent="0.2">
      <c r="A56" s="29" t="s">
        <v>1277</v>
      </c>
      <c r="B56" s="2"/>
    </row>
    <row r="57" spans="1:2" x14ac:dyDescent="0.2">
      <c r="A57" s="29" t="s">
        <v>1278</v>
      </c>
      <c r="B57" s="2"/>
    </row>
    <row r="58" spans="1:2" x14ac:dyDescent="0.2">
      <c r="A58" s="29" t="s">
        <v>1279</v>
      </c>
      <c r="B58" s="2"/>
    </row>
    <row r="59" spans="1:2" x14ac:dyDescent="0.2">
      <c r="A59" s="29" t="s">
        <v>1280</v>
      </c>
      <c r="B59" s="2"/>
    </row>
    <row r="60" spans="1:2" x14ac:dyDescent="0.2">
      <c r="A60" s="29" t="s">
        <v>1281</v>
      </c>
      <c r="B60" s="2"/>
    </row>
    <row r="61" spans="1:2" x14ac:dyDescent="0.2">
      <c r="A61" s="29" t="s">
        <v>1282</v>
      </c>
      <c r="B61" s="2"/>
    </row>
    <row r="62" spans="1:2" x14ac:dyDescent="0.2">
      <c r="A62" s="29" t="s">
        <v>1283</v>
      </c>
      <c r="B62" s="2"/>
    </row>
    <row r="63" spans="1:2" x14ac:dyDescent="0.2">
      <c r="A63" s="29" t="s">
        <v>1284</v>
      </c>
      <c r="B63" s="2"/>
    </row>
    <row r="64" spans="1:2" x14ac:dyDescent="0.2">
      <c r="A64" s="29" t="s">
        <v>1285</v>
      </c>
      <c r="B64" s="2"/>
    </row>
    <row r="65" spans="1:2" x14ac:dyDescent="0.2">
      <c r="A65" s="29" t="s">
        <v>1286</v>
      </c>
      <c r="B65" s="2"/>
    </row>
    <row r="66" spans="1:2" x14ac:dyDescent="0.2">
      <c r="A66" s="29" t="s">
        <v>1287</v>
      </c>
      <c r="B66" s="2"/>
    </row>
    <row r="67" spans="1:2" x14ac:dyDescent="0.2">
      <c r="A67" s="29" t="s">
        <v>1288</v>
      </c>
      <c r="B67" s="2"/>
    </row>
    <row r="68" spans="1:2" x14ac:dyDescent="0.2">
      <c r="A68" s="29" t="s">
        <v>1289</v>
      </c>
      <c r="B68" s="2"/>
    </row>
    <row r="69" spans="1:2" x14ac:dyDescent="0.2">
      <c r="A69" s="29" t="s">
        <v>1290</v>
      </c>
      <c r="B69" s="2"/>
    </row>
    <row r="70" spans="1:2" x14ac:dyDescent="0.2">
      <c r="A70" s="29" t="s">
        <v>1291</v>
      </c>
      <c r="B70" s="2"/>
    </row>
    <row r="71" spans="1:2" x14ac:dyDescent="0.2">
      <c r="A71" s="29" t="s">
        <v>1292</v>
      </c>
      <c r="B71" s="2"/>
    </row>
    <row r="72" spans="1:2" x14ac:dyDescent="0.2">
      <c r="A72" s="29" t="s">
        <v>1293</v>
      </c>
      <c r="B72" s="2"/>
    </row>
    <row r="73" spans="1:2" x14ac:dyDescent="0.2">
      <c r="A73" s="29" t="s">
        <v>1294</v>
      </c>
      <c r="B73" s="2"/>
    </row>
    <row r="74" spans="1:2" x14ac:dyDescent="0.2">
      <c r="A74" s="29" t="s">
        <v>1328</v>
      </c>
      <c r="B74" s="2"/>
    </row>
    <row r="75" spans="1:2" x14ac:dyDescent="0.2">
      <c r="A75" s="29" t="s">
        <v>1295</v>
      </c>
      <c r="B75" s="2"/>
    </row>
    <row r="76" spans="1:2" x14ac:dyDescent="0.2">
      <c r="A76" s="29" t="s">
        <v>1296</v>
      </c>
      <c r="B76" s="2"/>
    </row>
    <row r="77" spans="1:2" x14ac:dyDescent="0.2">
      <c r="A77" s="29" t="s">
        <v>1297</v>
      </c>
      <c r="B77" s="2"/>
    </row>
    <row r="78" spans="1:2" x14ac:dyDescent="0.2">
      <c r="A78" s="29" t="s">
        <v>1298</v>
      </c>
      <c r="B78" s="2"/>
    </row>
    <row r="79" spans="1:2" x14ac:dyDescent="0.2">
      <c r="A79" s="29" t="s">
        <v>1299</v>
      </c>
      <c r="B79" s="2"/>
    </row>
    <row r="80" spans="1:2" x14ac:dyDescent="0.2">
      <c r="A80" s="29" t="s">
        <v>1300</v>
      </c>
      <c r="B80" s="2"/>
    </row>
    <row r="81" spans="1:2" x14ac:dyDescent="0.2">
      <c r="A81" s="29" t="s">
        <v>1301</v>
      </c>
      <c r="B81" s="2"/>
    </row>
    <row r="82" spans="1:2" x14ac:dyDescent="0.2">
      <c r="A82" s="29" t="s">
        <v>1302</v>
      </c>
      <c r="B82" s="2"/>
    </row>
    <row r="83" spans="1:2" x14ac:dyDescent="0.2">
      <c r="A83" s="29" t="s">
        <v>1303</v>
      </c>
      <c r="B83" s="2"/>
    </row>
    <row r="84" spans="1:2" x14ac:dyDescent="0.2">
      <c r="A84" s="29" t="s">
        <v>1304</v>
      </c>
      <c r="B84" s="2"/>
    </row>
    <row r="85" spans="1:2" x14ac:dyDescent="0.2">
      <c r="A85" s="29" t="s">
        <v>1305</v>
      </c>
      <c r="B85" s="2"/>
    </row>
    <row r="86" spans="1:2" x14ac:dyDescent="0.2">
      <c r="A86" s="29" t="s">
        <v>1306</v>
      </c>
      <c r="B86" s="2"/>
    </row>
    <row r="87" spans="1:2" x14ac:dyDescent="0.2">
      <c r="A87" s="29" t="s">
        <v>1307</v>
      </c>
      <c r="B87" s="2"/>
    </row>
    <row r="88" spans="1:2" x14ac:dyDescent="0.2">
      <c r="A88" s="29" t="s">
        <v>1308</v>
      </c>
      <c r="B88" s="2"/>
    </row>
    <row r="89" spans="1:2" x14ac:dyDescent="0.2">
      <c r="A89" s="29" t="s">
        <v>1309</v>
      </c>
      <c r="B89" s="2"/>
    </row>
    <row r="90" spans="1:2" x14ac:dyDescent="0.2">
      <c r="A90" s="29" t="s">
        <v>1310</v>
      </c>
      <c r="B90" s="2"/>
    </row>
    <row r="91" spans="1:2" x14ac:dyDescent="0.2">
      <c r="A91" s="29" t="s">
        <v>1311</v>
      </c>
      <c r="B91" s="2"/>
    </row>
    <row r="92" spans="1:2" x14ac:dyDescent="0.2">
      <c r="A92" s="29" t="s">
        <v>1312</v>
      </c>
      <c r="B92" s="2"/>
    </row>
    <row r="93" spans="1:2" x14ac:dyDescent="0.2">
      <c r="A93" s="29" t="s">
        <v>1313</v>
      </c>
      <c r="B93" s="2"/>
    </row>
    <row r="94" spans="1:2" x14ac:dyDescent="0.2">
      <c r="A94" s="29" t="s">
        <v>1314</v>
      </c>
      <c r="B94" s="2"/>
    </row>
    <row r="95" spans="1:2" x14ac:dyDescent="0.2">
      <c r="A95" s="29" t="s">
        <v>1315</v>
      </c>
      <c r="B95" s="2"/>
    </row>
    <row r="96" spans="1:2" x14ac:dyDescent="0.2">
      <c r="A96" s="29" t="s">
        <v>1316</v>
      </c>
      <c r="B96" s="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DB71D8-0452-A441-B22D-4DEAB053DFA7}">
  <dimension ref="A1:AI74"/>
  <sheetViews>
    <sheetView zoomScale="134" workbookViewId="0">
      <pane ySplit="1" topLeftCell="A2" activePane="bottomLeft" state="frozen"/>
      <selection pane="bottomLeft" activeCell="B11" sqref="B11"/>
    </sheetView>
  </sheetViews>
  <sheetFormatPr baseColWidth="10" defaultRowHeight="16" x14ac:dyDescent="0.2"/>
  <cols>
    <col min="1" max="16384" width="10.83203125" style="2"/>
  </cols>
  <sheetData>
    <row r="1" spans="1:35" s="34" customFormat="1" x14ac:dyDescent="0.2">
      <c r="A1" s="33" t="s">
        <v>845</v>
      </c>
      <c r="B1" s="33"/>
      <c r="C1" s="33"/>
      <c r="D1" s="33"/>
      <c r="E1" s="33"/>
      <c r="F1" s="33"/>
      <c r="G1" s="33"/>
      <c r="H1" s="33"/>
      <c r="I1" s="33"/>
      <c r="J1" s="33"/>
      <c r="K1" s="33"/>
      <c r="L1" s="33"/>
      <c r="M1" s="33"/>
      <c r="N1" s="33"/>
      <c r="O1" s="33"/>
      <c r="P1" s="33"/>
      <c r="Q1" s="33"/>
      <c r="R1" s="33"/>
      <c r="S1" s="33"/>
      <c r="T1" s="33"/>
      <c r="U1" s="33"/>
      <c r="V1" s="33"/>
      <c r="W1" s="33"/>
      <c r="X1" s="33"/>
      <c r="Y1" s="33"/>
      <c r="Z1" s="33"/>
      <c r="AA1" s="33"/>
      <c r="AB1" s="33"/>
      <c r="AC1" s="33"/>
      <c r="AD1" s="33"/>
      <c r="AE1" s="33"/>
      <c r="AF1" s="33"/>
      <c r="AG1" s="33"/>
      <c r="AH1" s="33"/>
      <c r="AI1" s="33"/>
    </row>
    <row r="2" spans="1:35" x14ac:dyDescent="0.2">
      <c r="A2" s="29" t="s">
        <v>1389</v>
      </c>
    </row>
    <row r="3" spans="1:35" x14ac:dyDescent="0.2">
      <c r="A3" s="29" t="s">
        <v>1390</v>
      </c>
    </row>
    <row r="4" spans="1:35" x14ac:dyDescent="0.2">
      <c r="A4" s="29" t="s">
        <v>1391</v>
      </c>
    </row>
    <row r="5" spans="1:35" x14ac:dyDescent="0.2">
      <c r="A5" s="29" t="s">
        <v>1392</v>
      </c>
    </row>
    <row r="6" spans="1:35" x14ac:dyDescent="0.2">
      <c r="A6" s="29" t="s">
        <v>1393</v>
      </c>
    </row>
    <row r="7" spans="1:35" x14ac:dyDescent="0.2">
      <c r="A7" s="29" t="s">
        <v>1394</v>
      </c>
    </row>
    <row r="8" spans="1:35" x14ac:dyDescent="0.2">
      <c r="A8" s="29" t="s">
        <v>1395</v>
      </c>
    </row>
    <row r="9" spans="1:35" x14ac:dyDescent="0.2">
      <c r="A9" s="35" t="s">
        <v>1396</v>
      </c>
    </row>
    <row r="10" spans="1:35" x14ac:dyDescent="0.2">
      <c r="A10" s="35" t="s">
        <v>1397</v>
      </c>
    </row>
    <row r="11" spans="1:35" x14ac:dyDescent="0.2">
      <c r="A11" s="35" t="s">
        <v>1398</v>
      </c>
    </row>
    <row r="12" spans="1:35" x14ac:dyDescent="0.2">
      <c r="A12" s="29" t="s">
        <v>1399</v>
      </c>
    </row>
    <row r="13" spans="1:35" customFormat="1" x14ac:dyDescent="0.2">
      <c r="A13" t="s">
        <v>1555</v>
      </c>
    </row>
    <row r="14" spans="1:35" x14ac:dyDescent="0.2">
      <c r="A14" s="2" t="s">
        <v>1532</v>
      </c>
    </row>
    <row r="15" spans="1:35" x14ac:dyDescent="0.2">
      <c r="A15" s="29" t="s">
        <v>1400</v>
      </c>
    </row>
    <row r="16" spans="1:35" x14ac:dyDescent="0.2">
      <c r="A16" s="29" t="s">
        <v>1237</v>
      </c>
    </row>
    <row r="17" spans="1:1" x14ac:dyDescent="0.2">
      <c r="A17" s="29" t="s">
        <v>1401</v>
      </c>
    </row>
    <row r="18" spans="1:1" x14ac:dyDescent="0.2">
      <c r="A18" s="29" t="s">
        <v>1241</v>
      </c>
    </row>
    <row r="19" spans="1:1" x14ac:dyDescent="0.2">
      <c r="A19" s="29" t="s">
        <v>1242</v>
      </c>
    </row>
    <row r="20" spans="1:1" x14ac:dyDescent="0.2">
      <c r="A20" s="29" t="s">
        <v>1402</v>
      </c>
    </row>
    <row r="21" spans="1:1" x14ac:dyDescent="0.2">
      <c r="A21" s="29" t="s">
        <v>1245</v>
      </c>
    </row>
    <row r="22" spans="1:1" x14ac:dyDescent="0.2">
      <c r="A22" s="29" t="s">
        <v>1403</v>
      </c>
    </row>
    <row r="23" spans="1:1" x14ac:dyDescent="0.2">
      <c r="A23" s="29" t="s">
        <v>1404</v>
      </c>
    </row>
    <row r="24" spans="1:1" x14ac:dyDescent="0.2">
      <c r="A24" s="29" t="s">
        <v>1405</v>
      </c>
    </row>
    <row r="25" spans="1:1" x14ac:dyDescent="0.2">
      <c r="A25" s="35" t="s">
        <v>1406</v>
      </c>
    </row>
    <row r="26" spans="1:1" x14ac:dyDescent="0.2">
      <c r="A26" s="35" t="s">
        <v>1407</v>
      </c>
    </row>
    <row r="27" spans="1:1" x14ac:dyDescent="0.2">
      <c r="A27" s="29" t="s">
        <v>1408</v>
      </c>
    </row>
    <row r="28" spans="1:1" x14ac:dyDescent="0.2">
      <c r="A28" s="29" t="s">
        <v>1255</v>
      </c>
    </row>
    <row r="29" spans="1:1" x14ac:dyDescent="0.2">
      <c r="A29" s="29" t="s">
        <v>1256</v>
      </c>
    </row>
    <row r="30" spans="1:1" x14ac:dyDescent="0.2">
      <c r="A30" s="35" t="s">
        <v>1409</v>
      </c>
    </row>
    <row r="31" spans="1:1" x14ac:dyDescent="0.2">
      <c r="A31" s="29" t="s">
        <v>1410</v>
      </c>
    </row>
    <row r="32" spans="1:1" x14ac:dyDescent="0.2">
      <c r="A32" s="29" t="s">
        <v>1261</v>
      </c>
    </row>
    <row r="33" spans="1:1" x14ac:dyDescent="0.2">
      <c r="A33" s="29" t="s">
        <v>1411</v>
      </c>
    </row>
    <row r="34" spans="1:1" x14ac:dyDescent="0.2">
      <c r="A34" s="29" t="s">
        <v>1269</v>
      </c>
    </row>
    <row r="35" spans="1:1" x14ac:dyDescent="0.2">
      <c r="A35" s="29" t="s">
        <v>1412</v>
      </c>
    </row>
    <row r="36" spans="1:1" x14ac:dyDescent="0.2">
      <c r="A36" s="29" t="s">
        <v>1413</v>
      </c>
    </row>
    <row r="37" spans="1:1" x14ac:dyDescent="0.2">
      <c r="A37" s="29" t="s">
        <v>1273</v>
      </c>
    </row>
    <row r="38" spans="1:1" x14ac:dyDescent="0.2">
      <c r="A38" s="29" t="s">
        <v>1414</v>
      </c>
    </row>
    <row r="39" spans="1:1" x14ac:dyDescent="0.2">
      <c r="A39" s="29" t="s">
        <v>1415</v>
      </c>
    </row>
    <row r="40" spans="1:1" x14ac:dyDescent="0.2">
      <c r="A40" s="29" t="s">
        <v>1275</v>
      </c>
    </row>
    <row r="41" spans="1:1" x14ac:dyDescent="0.2">
      <c r="A41" s="29" t="s">
        <v>1276</v>
      </c>
    </row>
    <row r="42" spans="1:1" x14ac:dyDescent="0.2">
      <c r="A42" s="29" t="s">
        <v>1283</v>
      </c>
    </row>
    <row r="43" spans="1:1" x14ac:dyDescent="0.2">
      <c r="A43" s="29" t="s">
        <v>1416</v>
      </c>
    </row>
    <row r="44" spans="1:1" x14ac:dyDescent="0.2">
      <c r="A44" s="29" t="s">
        <v>1417</v>
      </c>
    </row>
    <row r="45" spans="1:1" x14ac:dyDescent="0.2">
      <c r="A45" s="29" t="s">
        <v>1418</v>
      </c>
    </row>
    <row r="46" spans="1:1" x14ac:dyDescent="0.2">
      <c r="A46" s="29" t="s">
        <v>1419</v>
      </c>
    </row>
    <row r="47" spans="1:1" x14ac:dyDescent="0.2">
      <c r="A47" s="29" t="s">
        <v>1420</v>
      </c>
    </row>
    <row r="48" spans="1:1" x14ac:dyDescent="0.2">
      <c r="A48" s="29" t="s">
        <v>1421</v>
      </c>
    </row>
    <row r="49" spans="1:1" x14ac:dyDescent="0.2">
      <c r="A49" s="35" t="s">
        <v>1422</v>
      </c>
    </row>
    <row r="50" spans="1:1" x14ac:dyDescent="0.2">
      <c r="A50" s="35" t="s">
        <v>1423</v>
      </c>
    </row>
    <row r="51" spans="1:1" x14ac:dyDescent="0.2">
      <c r="A51" s="29" t="s">
        <v>1424</v>
      </c>
    </row>
    <row r="52" spans="1:1" x14ac:dyDescent="0.2">
      <c r="A52" s="29" t="s">
        <v>1425</v>
      </c>
    </row>
    <row r="53" spans="1:1" x14ac:dyDescent="0.2">
      <c r="A53" s="29" t="s">
        <v>1426</v>
      </c>
    </row>
    <row r="54" spans="1:1" x14ac:dyDescent="0.2">
      <c r="A54" s="29" t="s">
        <v>1427</v>
      </c>
    </row>
    <row r="55" spans="1:1" x14ac:dyDescent="0.2">
      <c r="A55" s="29" t="s">
        <v>1428</v>
      </c>
    </row>
    <row r="56" spans="1:1" x14ac:dyDescent="0.2">
      <c r="A56" s="29" t="s">
        <v>1297</v>
      </c>
    </row>
    <row r="57" spans="1:1" x14ac:dyDescent="0.2">
      <c r="A57" s="29" t="s">
        <v>1429</v>
      </c>
    </row>
    <row r="58" spans="1:1" x14ac:dyDescent="0.2">
      <c r="A58" s="29" t="s">
        <v>1430</v>
      </c>
    </row>
    <row r="59" spans="1:1" x14ac:dyDescent="0.2">
      <c r="A59" s="29" t="s">
        <v>1431</v>
      </c>
    </row>
    <row r="60" spans="1:1" x14ac:dyDescent="0.2">
      <c r="A60" s="29" t="s">
        <v>1432</v>
      </c>
    </row>
    <row r="61" spans="1:1" x14ac:dyDescent="0.2">
      <c r="A61" s="29" t="s">
        <v>1433</v>
      </c>
    </row>
    <row r="62" spans="1:1" x14ac:dyDescent="0.2">
      <c r="A62" s="29" t="s">
        <v>1434</v>
      </c>
    </row>
    <row r="63" spans="1:1" x14ac:dyDescent="0.2">
      <c r="A63" s="29" t="s">
        <v>1435</v>
      </c>
    </row>
    <row r="64" spans="1:1" x14ac:dyDescent="0.2">
      <c r="A64" s="29" t="s">
        <v>1300</v>
      </c>
    </row>
    <row r="65" spans="1:1" x14ac:dyDescent="0.2">
      <c r="A65" s="29" t="s">
        <v>1301</v>
      </c>
    </row>
    <row r="66" spans="1:1" x14ac:dyDescent="0.2">
      <c r="A66" s="29" t="s">
        <v>1436</v>
      </c>
    </row>
    <row r="67" spans="1:1" x14ac:dyDescent="0.2">
      <c r="A67" s="29" t="s">
        <v>1304</v>
      </c>
    </row>
    <row r="68" spans="1:1" x14ac:dyDescent="0.2">
      <c r="A68" s="29" t="s">
        <v>1307</v>
      </c>
    </row>
    <row r="69" spans="1:1" x14ac:dyDescent="0.2">
      <c r="A69" s="29" t="s">
        <v>1309</v>
      </c>
    </row>
    <row r="70" spans="1:1" x14ac:dyDescent="0.2">
      <c r="A70" s="29" t="s">
        <v>1311</v>
      </c>
    </row>
    <row r="71" spans="1:1" x14ac:dyDescent="0.2">
      <c r="A71" s="29" t="s">
        <v>1313</v>
      </c>
    </row>
    <row r="72" spans="1:1" x14ac:dyDescent="0.2">
      <c r="A72" s="29" t="s">
        <v>1437</v>
      </c>
    </row>
    <row r="73" spans="1:1" x14ac:dyDescent="0.2">
      <c r="A73" s="29" t="s">
        <v>1438</v>
      </c>
    </row>
    <row r="74" spans="1:1" x14ac:dyDescent="0.2">
      <c r="A74" s="29" t="s">
        <v>1316</v>
      </c>
    </row>
  </sheetData>
  <hyperlinks>
    <hyperlink ref="A9" r:id="rId1" display="https://doi.org/10.1007/s00445-007-0172-z" xr:uid="{DD23F888-8473-214F-8F98-5827E0C7E7A0}"/>
    <hyperlink ref="A10" r:id="rId2" display="https://doi.org/10.1016/j.quascirev.2014.09.008" xr:uid="{C676D388-98E7-FC43-AF9B-0847F2DA0B4F}"/>
    <hyperlink ref="A11" r:id="rId3" display="https://doi.org/10.1017/S0033822200033865" xr:uid="{6731C65E-D00A-B34A-976B-D2DFEEDCAF8E}"/>
    <hyperlink ref="A25" r:id="rId4" display="https://doi.org/10.1016/j.yqres.2009.12.004" xr:uid="{9A29043B-374E-9E4E-9353-869648B7BBFA}"/>
    <hyperlink ref="A26" r:id="rId5" display="https://doi.org/10.1017/RDC.2020.68" xr:uid="{DFD0AC20-D740-5741-871C-3D3157908BE4}"/>
    <hyperlink ref="A30" r:id="rId6" display="https://doi.org/10.1016/j.quascirev.2024.108558" xr:uid="{F9D076EF-4480-F745-A2E7-25DD2434C8DA}"/>
    <hyperlink ref="A49" r:id="rId7" display="https://doi.org/10.1111/bor.12446" xr:uid="{71D9147F-646B-F74E-8862-C5DFD4514AFF}"/>
    <hyperlink ref="A50" r:id="rId8" display="https://doi.org/10.1017/RDC.2020.41" xr:uid="{EE020908-80F0-6342-A40A-0DFE524C201E}"/>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9FEDE-60AB-D641-82B3-A999CE84BAE6}">
  <dimension ref="A1:J153"/>
  <sheetViews>
    <sheetView zoomScale="75" workbookViewId="0">
      <pane ySplit="1" topLeftCell="A95" activePane="bottomLeft" state="frozen"/>
      <selection pane="bottomLeft" activeCell="L72" sqref="L72"/>
    </sheetView>
  </sheetViews>
  <sheetFormatPr baseColWidth="10" defaultRowHeight="16" x14ac:dyDescent="0.2"/>
  <cols>
    <col min="1" max="1" width="19" style="2" customWidth="1"/>
    <col min="2" max="2" width="10.83203125" style="2"/>
    <col min="3" max="3" width="22.33203125" style="2" customWidth="1"/>
    <col min="4" max="5" width="19.83203125" style="5" customWidth="1"/>
    <col min="6" max="6" width="27.5" style="2" customWidth="1"/>
    <col min="7" max="8" width="19.83203125" style="5" customWidth="1"/>
    <col min="11" max="16384" width="10.83203125" style="2"/>
  </cols>
  <sheetData>
    <row r="1" spans="1:8" s="25" customFormat="1" ht="75" customHeight="1" x14ac:dyDescent="0.2">
      <c r="A1" s="32" t="s">
        <v>1</v>
      </c>
      <c r="B1" s="25" t="s">
        <v>1505</v>
      </c>
      <c r="C1" s="32" t="s">
        <v>7</v>
      </c>
      <c r="D1" s="32" t="s">
        <v>1608</v>
      </c>
      <c r="E1" s="32" t="s">
        <v>1605</v>
      </c>
      <c r="F1" s="32" t="s">
        <v>951</v>
      </c>
      <c r="G1" s="32" t="s">
        <v>1606</v>
      </c>
      <c r="H1" s="32" t="s">
        <v>1607</v>
      </c>
    </row>
    <row r="2" spans="1:8" x14ac:dyDescent="0.2">
      <c r="A2" s="31" t="s">
        <v>102</v>
      </c>
      <c r="B2" s="2" t="s">
        <v>1506</v>
      </c>
      <c r="C2" s="31" t="s">
        <v>218</v>
      </c>
      <c r="D2" s="20">
        <v>21353</v>
      </c>
      <c r="E2" s="20">
        <v>22575</v>
      </c>
      <c r="F2" s="31" t="s">
        <v>1553</v>
      </c>
      <c r="G2" s="20">
        <v>0</v>
      </c>
      <c r="H2" s="20">
        <v>25000</v>
      </c>
    </row>
    <row r="3" spans="1:8" x14ac:dyDescent="0.2">
      <c r="A3" s="31" t="s">
        <v>104</v>
      </c>
      <c r="B3" s="2" t="s">
        <v>1506</v>
      </c>
      <c r="C3" s="31" t="s">
        <v>218</v>
      </c>
      <c r="D3" s="20">
        <v>21353</v>
      </c>
      <c r="E3" s="20">
        <v>22575</v>
      </c>
      <c r="F3" s="31" t="s">
        <v>1553</v>
      </c>
      <c r="G3" s="20">
        <v>0</v>
      </c>
      <c r="H3" s="20">
        <v>25000</v>
      </c>
    </row>
    <row r="4" spans="1:8" x14ac:dyDescent="0.2">
      <c r="A4" s="31" t="s">
        <v>106</v>
      </c>
      <c r="B4" s="2" t="s">
        <v>1506</v>
      </c>
      <c r="C4" s="31" t="s">
        <v>218</v>
      </c>
      <c r="D4" s="20">
        <v>21353</v>
      </c>
      <c r="E4" s="20">
        <v>22575</v>
      </c>
      <c r="F4" s="31" t="s">
        <v>1553</v>
      </c>
      <c r="G4" s="20">
        <v>0</v>
      </c>
      <c r="H4" s="20">
        <v>25000</v>
      </c>
    </row>
    <row r="5" spans="1:8" x14ac:dyDescent="0.2">
      <c r="A5" s="31" t="s">
        <v>107</v>
      </c>
      <c r="B5" s="2" t="s">
        <v>1506</v>
      </c>
      <c r="C5" s="31" t="s">
        <v>218</v>
      </c>
      <c r="D5" s="20">
        <v>21353</v>
      </c>
      <c r="E5" s="20">
        <v>22575</v>
      </c>
      <c r="F5" s="31" t="s">
        <v>1553</v>
      </c>
      <c r="G5" s="20">
        <v>0</v>
      </c>
      <c r="H5" s="20">
        <v>25000</v>
      </c>
    </row>
    <row r="6" spans="1:8" x14ac:dyDescent="0.2">
      <c r="A6" s="31" t="s">
        <v>108</v>
      </c>
      <c r="B6" s="2" t="s">
        <v>1506</v>
      </c>
      <c r="C6" s="31" t="s">
        <v>218</v>
      </c>
      <c r="D6" s="20">
        <v>21353</v>
      </c>
      <c r="E6" s="20">
        <v>22575</v>
      </c>
      <c r="F6" s="31" t="s">
        <v>1553</v>
      </c>
      <c r="G6" s="20">
        <v>0</v>
      </c>
      <c r="H6" s="20">
        <v>25000</v>
      </c>
    </row>
    <row r="7" spans="1:8" x14ac:dyDescent="0.2">
      <c r="A7" s="31" t="s">
        <v>109</v>
      </c>
      <c r="B7" s="2" t="s">
        <v>1506</v>
      </c>
      <c r="C7" s="31" t="s">
        <v>218</v>
      </c>
      <c r="D7" s="20">
        <v>3510</v>
      </c>
      <c r="E7" s="20">
        <v>3559</v>
      </c>
      <c r="F7" s="31" t="s">
        <v>1553</v>
      </c>
      <c r="G7" s="20">
        <v>0</v>
      </c>
      <c r="H7" s="20">
        <v>25000</v>
      </c>
    </row>
    <row r="8" spans="1:8" x14ac:dyDescent="0.2">
      <c r="A8" s="31" t="s">
        <v>110</v>
      </c>
      <c r="B8" s="2" t="s">
        <v>1506</v>
      </c>
      <c r="C8" s="31" t="s">
        <v>218</v>
      </c>
      <c r="D8" s="20">
        <v>21353</v>
      </c>
      <c r="E8" s="20">
        <v>22575</v>
      </c>
      <c r="F8" s="31" t="s">
        <v>1553</v>
      </c>
      <c r="G8" s="20">
        <v>0</v>
      </c>
      <c r="H8" s="20">
        <v>25000</v>
      </c>
    </row>
    <row r="9" spans="1:8" x14ac:dyDescent="0.2">
      <c r="A9" s="31" t="s">
        <v>111</v>
      </c>
      <c r="B9" s="2" t="s">
        <v>1506</v>
      </c>
      <c r="C9" s="31" t="s">
        <v>218</v>
      </c>
      <c r="D9" s="20">
        <v>21353</v>
      </c>
      <c r="E9" s="20">
        <v>22575</v>
      </c>
      <c r="F9" s="31" t="s">
        <v>1553</v>
      </c>
      <c r="G9" s="20">
        <v>0</v>
      </c>
      <c r="H9" s="20">
        <v>25000</v>
      </c>
    </row>
    <row r="10" spans="1:8" x14ac:dyDescent="0.2">
      <c r="A10" s="31" t="s">
        <v>112</v>
      </c>
      <c r="B10" s="2" t="s">
        <v>1506</v>
      </c>
      <c r="C10" s="31" t="s">
        <v>218</v>
      </c>
      <c r="D10" s="20">
        <v>21353</v>
      </c>
      <c r="E10" s="20">
        <v>22575</v>
      </c>
      <c r="F10" s="31" t="s">
        <v>1553</v>
      </c>
      <c r="G10" s="20">
        <v>0</v>
      </c>
      <c r="H10" s="20">
        <v>25000</v>
      </c>
    </row>
    <row r="11" spans="1:8" x14ac:dyDescent="0.2">
      <c r="A11" s="31" t="s">
        <v>113</v>
      </c>
      <c r="B11" s="2" t="s">
        <v>1506</v>
      </c>
      <c r="C11" s="31" t="s">
        <v>218</v>
      </c>
      <c r="D11" s="20">
        <v>21353</v>
      </c>
      <c r="E11" s="20">
        <v>22575</v>
      </c>
      <c r="F11" s="31" t="s">
        <v>1553</v>
      </c>
      <c r="G11" s="20">
        <v>0</v>
      </c>
      <c r="H11" s="20">
        <v>25000</v>
      </c>
    </row>
    <row r="12" spans="1:8" x14ac:dyDescent="0.2">
      <c r="A12" s="31" t="s">
        <v>555</v>
      </c>
      <c r="B12" s="2" t="s">
        <v>1506</v>
      </c>
      <c r="C12" s="31" t="s">
        <v>132</v>
      </c>
      <c r="D12" s="20">
        <v>1070</v>
      </c>
      <c r="E12" s="20">
        <v>12482</v>
      </c>
      <c r="F12" s="31" t="s">
        <v>1556</v>
      </c>
      <c r="G12" s="20">
        <v>1070</v>
      </c>
      <c r="H12" s="20">
        <v>12482</v>
      </c>
    </row>
    <row r="13" spans="1:8" x14ac:dyDescent="0.2">
      <c r="A13" s="31" t="s">
        <v>552</v>
      </c>
      <c r="B13" s="2" t="s">
        <v>1506</v>
      </c>
      <c r="C13" s="31" t="s">
        <v>1554</v>
      </c>
      <c r="D13" s="20">
        <v>7839</v>
      </c>
      <c r="E13" s="20">
        <v>8288</v>
      </c>
      <c r="F13" s="31" t="s">
        <v>1557</v>
      </c>
      <c r="G13" s="20">
        <v>5600</v>
      </c>
      <c r="H13" s="20">
        <v>25000</v>
      </c>
    </row>
    <row r="14" spans="1:8" x14ac:dyDescent="0.2">
      <c r="A14" s="31" t="s">
        <v>1441</v>
      </c>
      <c r="B14" s="2" t="s">
        <v>1507</v>
      </c>
      <c r="C14" s="31" t="s">
        <v>958</v>
      </c>
      <c r="D14" s="20">
        <v>8700</v>
      </c>
      <c r="E14" s="20">
        <v>9130</v>
      </c>
      <c r="F14" s="31" t="s">
        <v>1559</v>
      </c>
      <c r="G14" s="20">
        <v>8700</v>
      </c>
      <c r="H14" s="20">
        <v>25000</v>
      </c>
    </row>
    <row r="15" spans="1:8" x14ac:dyDescent="0.2">
      <c r="A15" s="31" t="s">
        <v>1442</v>
      </c>
      <c r="B15" s="2" t="s">
        <v>1507</v>
      </c>
      <c r="C15" s="31" t="s">
        <v>704</v>
      </c>
      <c r="D15" s="20">
        <v>7839</v>
      </c>
      <c r="E15" s="20">
        <v>12482</v>
      </c>
      <c r="F15" s="31" t="s">
        <v>1619</v>
      </c>
      <c r="G15" s="20">
        <v>7590</v>
      </c>
      <c r="H15" s="20">
        <v>14600</v>
      </c>
    </row>
    <row r="16" spans="1:8" x14ac:dyDescent="0.2">
      <c r="A16" s="31" t="s">
        <v>1443</v>
      </c>
      <c r="B16" s="2" t="s">
        <v>1506</v>
      </c>
      <c r="C16" s="31" t="s">
        <v>1444</v>
      </c>
      <c r="D16" s="20">
        <v>4483</v>
      </c>
      <c r="E16" s="20">
        <v>22339</v>
      </c>
      <c r="F16" s="31" t="s">
        <v>1558</v>
      </c>
      <c r="G16" s="20">
        <v>4483</v>
      </c>
      <c r="H16" s="20">
        <v>25000</v>
      </c>
    </row>
    <row r="17" spans="1:8" x14ac:dyDescent="0.2">
      <c r="A17" s="31" t="s">
        <v>1445</v>
      </c>
      <c r="B17" s="2" t="s">
        <v>1507</v>
      </c>
      <c r="C17" s="31" t="s">
        <v>580</v>
      </c>
      <c r="D17" s="20">
        <v>3510</v>
      </c>
      <c r="E17" s="20">
        <v>3559</v>
      </c>
      <c r="F17" s="31" t="s">
        <v>1620</v>
      </c>
      <c r="G17" s="20">
        <v>3510</v>
      </c>
      <c r="H17" s="20">
        <v>3559</v>
      </c>
    </row>
    <row r="18" spans="1:8" x14ac:dyDescent="0.2">
      <c r="A18" s="31" t="s">
        <v>584</v>
      </c>
      <c r="B18" s="2" t="s">
        <v>1506</v>
      </c>
      <c r="C18" s="31" t="s">
        <v>1446</v>
      </c>
      <c r="D18" s="20">
        <v>21353</v>
      </c>
      <c r="E18" s="20">
        <v>22575</v>
      </c>
      <c r="F18" s="31" t="s">
        <v>1621</v>
      </c>
      <c r="G18" s="20">
        <v>0</v>
      </c>
      <c r="H18" s="20">
        <v>25000</v>
      </c>
    </row>
    <row r="19" spans="1:8" x14ac:dyDescent="0.2">
      <c r="A19" s="31" t="s">
        <v>587</v>
      </c>
      <c r="B19" s="2" t="s">
        <v>1506</v>
      </c>
      <c r="C19" s="31" t="s">
        <v>1446</v>
      </c>
      <c r="D19" s="20">
        <v>3818</v>
      </c>
      <c r="E19" s="20">
        <v>3859</v>
      </c>
      <c r="F19" s="31" t="s">
        <v>1619</v>
      </c>
      <c r="G19" s="20">
        <v>0</v>
      </c>
      <c r="H19" s="20">
        <v>4500</v>
      </c>
    </row>
    <row r="20" spans="1:8" x14ac:dyDescent="0.2">
      <c r="A20" s="31" t="s">
        <v>588</v>
      </c>
      <c r="B20" s="2" t="s">
        <v>1506</v>
      </c>
      <c r="C20" s="31" t="s">
        <v>1446</v>
      </c>
      <c r="D20" s="20">
        <v>3818</v>
      </c>
      <c r="E20" s="20">
        <v>3859</v>
      </c>
      <c r="F20" s="31" t="s">
        <v>1619</v>
      </c>
      <c r="G20" s="20">
        <v>0</v>
      </c>
      <c r="H20" s="20">
        <v>7300</v>
      </c>
    </row>
    <row r="21" spans="1:8" x14ac:dyDescent="0.2">
      <c r="A21" s="31" t="s">
        <v>83</v>
      </c>
      <c r="B21" s="2" t="s">
        <v>1506</v>
      </c>
      <c r="C21" s="31" t="s">
        <v>1508</v>
      </c>
      <c r="D21" s="20">
        <v>4483</v>
      </c>
      <c r="E21" s="20">
        <v>17717</v>
      </c>
      <c r="F21" s="31" t="s">
        <v>1561</v>
      </c>
      <c r="G21" s="20">
        <v>4483</v>
      </c>
      <c r="H21" s="20">
        <v>17717</v>
      </c>
    </row>
    <row r="22" spans="1:8" x14ac:dyDescent="0.2">
      <c r="A22" s="31" t="s">
        <v>116</v>
      </c>
      <c r="B22" s="2" t="s">
        <v>1506</v>
      </c>
      <c r="C22" s="31" t="s">
        <v>213</v>
      </c>
      <c r="D22" s="20">
        <v>4483</v>
      </c>
      <c r="E22" s="20">
        <v>18269</v>
      </c>
      <c r="F22" s="31" t="s">
        <v>1622</v>
      </c>
      <c r="G22" s="20">
        <v>0</v>
      </c>
      <c r="H22" s="20">
        <v>18269</v>
      </c>
    </row>
    <row r="23" spans="1:8" x14ac:dyDescent="0.2">
      <c r="A23" s="31" t="s">
        <v>118</v>
      </c>
      <c r="B23" s="2" t="s">
        <v>1506</v>
      </c>
      <c r="C23" s="31" t="s">
        <v>213</v>
      </c>
      <c r="D23" s="20">
        <v>4483</v>
      </c>
      <c r="E23" s="20">
        <v>18269</v>
      </c>
      <c r="F23" s="31" t="s">
        <v>1523</v>
      </c>
      <c r="G23" s="20">
        <v>0</v>
      </c>
      <c r="H23" s="20">
        <v>25000</v>
      </c>
    </row>
    <row r="24" spans="1:8" x14ac:dyDescent="0.2">
      <c r="A24" s="31" t="s">
        <v>119</v>
      </c>
      <c r="B24" s="2" t="s">
        <v>1506</v>
      </c>
      <c r="C24" s="31" t="s">
        <v>221</v>
      </c>
      <c r="D24" s="20">
        <v>4483</v>
      </c>
      <c r="E24" s="20">
        <v>14356</v>
      </c>
      <c r="F24" s="31" t="s">
        <v>1566</v>
      </c>
      <c r="G24" s="20">
        <v>0</v>
      </c>
      <c r="H24" s="20">
        <v>25000</v>
      </c>
    </row>
    <row r="25" spans="1:8" x14ac:dyDescent="0.2">
      <c r="A25" s="31" t="s">
        <v>36</v>
      </c>
      <c r="B25" s="2" t="s">
        <v>1507</v>
      </c>
      <c r="C25" s="31" t="s">
        <v>983</v>
      </c>
      <c r="D25" s="20">
        <v>3818</v>
      </c>
      <c r="E25" s="20">
        <v>3859</v>
      </c>
      <c r="F25" s="31" t="s">
        <v>1562</v>
      </c>
      <c r="G25" s="20">
        <v>0</v>
      </c>
      <c r="H25" s="20">
        <v>25000</v>
      </c>
    </row>
    <row r="26" spans="1:8" x14ac:dyDescent="0.2">
      <c r="A26" s="31" t="s">
        <v>84</v>
      </c>
      <c r="B26" s="2" t="s">
        <v>1506</v>
      </c>
      <c r="C26" s="31" t="s">
        <v>215</v>
      </c>
      <c r="D26" s="20">
        <v>13761</v>
      </c>
      <c r="E26" s="20">
        <v>14356</v>
      </c>
      <c r="F26" s="31" t="s">
        <v>1567</v>
      </c>
      <c r="G26" s="20">
        <v>13761</v>
      </c>
      <c r="H26" s="20">
        <v>25000</v>
      </c>
    </row>
    <row r="27" spans="1:8" x14ac:dyDescent="0.2">
      <c r="A27" s="31" t="s">
        <v>85</v>
      </c>
      <c r="B27" s="2" t="s">
        <v>1506</v>
      </c>
      <c r="C27" s="31" t="s">
        <v>215</v>
      </c>
      <c r="D27" s="20">
        <v>4483</v>
      </c>
      <c r="E27" s="20">
        <v>14356</v>
      </c>
      <c r="F27" s="31" t="s">
        <v>1563</v>
      </c>
      <c r="G27" s="20">
        <v>4483</v>
      </c>
      <c r="H27" s="20">
        <v>14356</v>
      </c>
    </row>
    <row r="28" spans="1:8" x14ac:dyDescent="0.2">
      <c r="A28" s="31" t="s">
        <v>94</v>
      </c>
      <c r="B28" s="2" t="s">
        <v>1506</v>
      </c>
      <c r="C28" s="31" t="s">
        <v>215</v>
      </c>
      <c r="D28" s="20">
        <v>4483</v>
      </c>
      <c r="E28" s="20">
        <v>14356</v>
      </c>
      <c r="F28" s="2" t="s">
        <v>1624</v>
      </c>
      <c r="G28" s="2">
        <v>0</v>
      </c>
      <c r="H28" s="2">
        <f>15800 + 500</f>
        <v>16300</v>
      </c>
    </row>
    <row r="29" spans="1:8" x14ac:dyDescent="0.2">
      <c r="A29" s="31" t="s">
        <v>95</v>
      </c>
      <c r="B29" s="2" t="s">
        <v>1506</v>
      </c>
      <c r="C29" s="31" t="s">
        <v>215</v>
      </c>
      <c r="D29" s="20">
        <v>4483</v>
      </c>
      <c r="E29" s="20">
        <v>4627</v>
      </c>
      <c r="F29" s="2" t="s">
        <v>1625</v>
      </c>
      <c r="G29" s="2">
        <v>0</v>
      </c>
      <c r="H29" s="2">
        <f>9700 + 160</f>
        <v>9860</v>
      </c>
    </row>
    <row r="30" spans="1:8" x14ac:dyDescent="0.2">
      <c r="A30" s="31" t="s">
        <v>123</v>
      </c>
      <c r="B30" s="2" t="s">
        <v>1506</v>
      </c>
      <c r="C30" s="31" t="s">
        <v>215</v>
      </c>
      <c r="D30" s="20">
        <v>4483</v>
      </c>
      <c r="E30" s="20">
        <v>14356</v>
      </c>
      <c r="F30" s="31" t="s">
        <v>1560</v>
      </c>
      <c r="G30" s="20">
        <v>4483</v>
      </c>
      <c r="H30" s="20">
        <v>25000</v>
      </c>
    </row>
    <row r="31" spans="1:8" x14ac:dyDescent="0.2">
      <c r="A31" s="31" t="s">
        <v>620</v>
      </c>
      <c r="B31" s="2" t="s">
        <v>1507</v>
      </c>
      <c r="C31" s="31" t="s">
        <v>1447</v>
      </c>
      <c r="D31" s="20">
        <v>3213</v>
      </c>
      <c r="E31" s="20">
        <v>3481</v>
      </c>
      <c r="F31" s="31" t="s">
        <v>1569</v>
      </c>
      <c r="G31" s="20">
        <v>1131</v>
      </c>
      <c r="H31" s="20">
        <v>25000</v>
      </c>
    </row>
    <row r="32" spans="1:8" x14ac:dyDescent="0.2">
      <c r="A32" s="31" t="s">
        <v>858</v>
      </c>
      <c r="B32" s="2" t="s">
        <v>1506</v>
      </c>
      <c r="C32" s="31" t="s">
        <v>503</v>
      </c>
      <c r="D32" s="20">
        <v>1070</v>
      </c>
      <c r="E32" s="20">
        <v>9009</v>
      </c>
      <c r="F32" s="31" t="s">
        <v>1623</v>
      </c>
      <c r="G32" s="20">
        <v>257</v>
      </c>
      <c r="H32" s="20">
        <v>25000</v>
      </c>
    </row>
    <row r="33" spans="1:8" x14ac:dyDescent="0.2">
      <c r="A33" s="31" t="s">
        <v>135</v>
      </c>
      <c r="B33" s="2" t="s">
        <v>1506</v>
      </c>
      <c r="C33" s="31" t="s">
        <v>227</v>
      </c>
      <c r="D33" s="20">
        <v>3510</v>
      </c>
      <c r="E33" s="20">
        <v>22575</v>
      </c>
      <c r="F33" s="31" t="s">
        <v>1618</v>
      </c>
      <c r="G33" s="20">
        <v>3510</v>
      </c>
      <c r="H33" s="20">
        <v>25000</v>
      </c>
    </row>
    <row r="34" spans="1:8" x14ac:dyDescent="0.2">
      <c r="A34" s="31" t="s">
        <v>792</v>
      </c>
      <c r="B34" s="2" t="s">
        <v>1506</v>
      </c>
      <c r="C34" s="31" t="s">
        <v>790</v>
      </c>
      <c r="D34" s="20">
        <v>1871</v>
      </c>
      <c r="E34" s="20">
        <v>12482</v>
      </c>
      <c r="F34" s="31" t="s">
        <v>1568</v>
      </c>
      <c r="G34" s="20">
        <v>1871</v>
      </c>
      <c r="H34" s="20">
        <v>12482</v>
      </c>
    </row>
    <row r="35" spans="1:8" x14ac:dyDescent="0.2">
      <c r="A35" s="31" t="s">
        <v>791</v>
      </c>
      <c r="B35" s="2" t="s">
        <v>1506</v>
      </c>
      <c r="C35" s="31" t="s">
        <v>790</v>
      </c>
      <c r="D35" s="20">
        <v>220</v>
      </c>
      <c r="E35" s="20">
        <v>12482</v>
      </c>
      <c r="F35" s="31" t="s">
        <v>1570</v>
      </c>
      <c r="G35" s="20">
        <v>220</v>
      </c>
      <c r="H35" s="20">
        <v>13000</v>
      </c>
    </row>
    <row r="36" spans="1:8" x14ac:dyDescent="0.2">
      <c r="A36" s="31" t="s">
        <v>793</v>
      </c>
      <c r="B36" s="2" t="s">
        <v>1506</v>
      </c>
      <c r="C36" s="31" t="s">
        <v>790</v>
      </c>
      <c r="D36" s="20">
        <v>156</v>
      </c>
      <c r="E36" s="20">
        <v>9009</v>
      </c>
      <c r="F36" s="31" t="s">
        <v>1509</v>
      </c>
      <c r="G36" s="20">
        <v>156</v>
      </c>
      <c r="H36" s="20">
        <v>10919</v>
      </c>
    </row>
    <row r="37" spans="1:8" x14ac:dyDescent="0.2">
      <c r="A37" s="31" t="s">
        <v>556</v>
      </c>
      <c r="B37" s="2" t="s">
        <v>1506</v>
      </c>
      <c r="C37" s="31" t="s">
        <v>616</v>
      </c>
      <c r="D37" s="20">
        <v>3510</v>
      </c>
      <c r="E37" s="20">
        <v>27000</v>
      </c>
      <c r="F37" s="31" t="s">
        <v>1523</v>
      </c>
      <c r="G37" s="20">
        <v>0</v>
      </c>
      <c r="H37" s="20">
        <v>25000</v>
      </c>
    </row>
    <row r="38" spans="1:8" x14ac:dyDescent="0.2">
      <c r="A38" s="31" t="s">
        <v>608</v>
      </c>
      <c r="B38" s="2" t="s">
        <v>1507</v>
      </c>
      <c r="C38" s="31" t="s">
        <v>611</v>
      </c>
      <c r="D38" s="20">
        <v>1438</v>
      </c>
      <c r="E38" s="20">
        <v>9009</v>
      </c>
      <c r="F38" s="31" t="s">
        <v>1523</v>
      </c>
      <c r="G38" s="20">
        <v>0</v>
      </c>
      <c r="H38" s="20">
        <v>25000</v>
      </c>
    </row>
    <row r="39" spans="1:8" x14ac:dyDescent="0.2">
      <c r="A39" s="31" t="s">
        <v>1448</v>
      </c>
      <c r="B39" s="2" t="s">
        <v>1507</v>
      </c>
      <c r="C39" s="31" t="s">
        <v>1510</v>
      </c>
      <c r="D39" s="20" t="s">
        <v>1511</v>
      </c>
      <c r="E39" s="20">
        <v>16435</v>
      </c>
      <c r="F39" s="31" t="s">
        <v>1571</v>
      </c>
      <c r="G39" s="20" t="s">
        <v>1511</v>
      </c>
      <c r="H39" s="20">
        <v>16435</v>
      </c>
    </row>
    <row r="40" spans="1:8" x14ac:dyDescent="0.2">
      <c r="A40" s="31" t="s">
        <v>775</v>
      </c>
      <c r="B40" s="2" t="s">
        <v>1506</v>
      </c>
      <c r="C40" s="31" t="s">
        <v>1333</v>
      </c>
      <c r="D40" s="20">
        <v>160</v>
      </c>
      <c r="E40" s="20">
        <v>1871</v>
      </c>
      <c r="F40" s="31" t="s">
        <v>1512</v>
      </c>
      <c r="G40" s="20">
        <v>0</v>
      </c>
      <c r="H40" s="20">
        <v>15877</v>
      </c>
    </row>
    <row r="41" spans="1:8" x14ac:dyDescent="0.2">
      <c r="A41" s="31" t="s">
        <v>1449</v>
      </c>
      <c r="B41" s="2" t="s">
        <v>1507</v>
      </c>
      <c r="C41" s="31" t="s">
        <v>61</v>
      </c>
      <c r="D41" s="20">
        <v>17048</v>
      </c>
      <c r="E41" s="20">
        <v>17717</v>
      </c>
      <c r="F41" s="31" t="s">
        <v>1523</v>
      </c>
      <c r="G41" s="20">
        <v>0</v>
      </c>
      <c r="H41" s="20">
        <v>25000</v>
      </c>
    </row>
    <row r="42" spans="1:8" x14ac:dyDescent="0.2">
      <c r="A42" s="31" t="s">
        <v>1450</v>
      </c>
      <c r="B42" s="2" t="s">
        <v>1515</v>
      </c>
      <c r="C42" s="31" t="s">
        <v>1451</v>
      </c>
      <c r="D42" s="20">
        <v>3510</v>
      </c>
      <c r="E42" s="20">
        <v>3559</v>
      </c>
      <c r="F42" s="31" t="s">
        <v>1552</v>
      </c>
      <c r="G42" s="20">
        <v>3510</v>
      </c>
      <c r="H42" s="20">
        <v>3559</v>
      </c>
    </row>
    <row r="43" spans="1:8" x14ac:dyDescent="0.2">
      <c r="A43" s="31" t="s">
        <v>677</v>
      </c>
      <c r="B43" s="2" t="s">
        <v>1506</v>
      </c>
      <c r="C43" s="31" t="s">
        <v>1452</v>
      </c>
      <c r="D43" s="20">
        <v>3510</v>
      </c>
      <c r="E43" s="20">
        <v>3559</v>
      </c>
      <c r="F43" s="31" t="s">
        <v>1572</v>
      </c>
      <c r="G43" s="20">
        <v>0</v>
      </c>
      <c r="H43" s="20">
        <v>25000</v>
      </c>
    </row>
    <row r="44" spans="1:8" x14ac:dyDescent="0.2">
      <c r="A44" s="31" t="s">
        <v>678</v>
      </c>
      <c r="B44" s="2" t="s">
        <v>1506</v>
      </c>
      <c r="C44" s="31" t="s">
        <v>1452</v>
      </c>
      <c r="D44" s="20">
        <v>3510</v>
      </c>
      <c r="E44" s="20">
        <v>3559</v>
      </c>
      <c r="F44" s="31" t="s">
        <v>1572</v>
      </c>
      <c r="G44" s="20">
        <v>0</v>
      </c>
      <c r="H44" s="20">
        <v>25000</v>
      </c>
    </row>
    <row r="45" spans="1:8" x14ac:dyDescent="0.2">
      <c r="A45" s="31" t="s">
        <v>679</v>
      </c>
      <c r="B45" s="2" t="s">
        <v>1506</v>
      </c>
      <c r="C45" s="31" t="s">
        <v>1452</v>
      </c>
      <c r="D45" s="20">
        <v>3510</v>
      </c>
      <c r="E45" s="20">
        <v>3559</v>
      </c>
      <c r="F45" s="31" t="s">
        <v>1572</v>
      </c>
      <c r="G45" s="20">
        <v>0</v>
      </c>
      <c r="H45" s="20">
        <v>25000</v>
      </c>
    </row>
    <row r="46" spans="1:8" x14ac:dyDescent="0.2">
      <c r="A46" s="31" t="s">
        <v>680</v>
      </c>
      <c r="B46" s="2" t="s">
        <v>1506</v>
      </c>
      <c r="C46" s="31" t="s">
        <v>1452</v>
      </c>
      <c r="D46" s="20">
        <v>3510</v>
      </c>
      <c r="E46" s="20">
        <v>3559</v>
      </c>
      <c r="F46" s="31" t="s">
        <v>1572</v>
      </c>
      <c r="G46" s="20">
        <v>0</v>
      </c>
      <c r="H46" s="20">
        <v>25000</v>
      </c>
    </row>
    <row r="47" spans="1:8" x14ac:dyDescent="0.2">
      <c r="A47" s="31" t="s">
        <v>681</v>
      </c>
      <c r="B47" s="2" t="s">
        <v>1506</v>
      </c>
      <c r="C47" s="31" t="s">
        <v>1452</v>
      </c>
      <c r="D47" s="20">
        <v>3510</v>
      </c>
      <c r="E47" s="20">
        <v>22575</v>
      </c>
      <c r="F47" s="31" t="s">
        <v>1572</v>
      </c>
      <c r="G47" s="20">
        <v>0</v>
      </c>
      <c r="H47" s="20">
        <v>25000</v>
      </c>
    </row>
    <row r="48" spans="1:8" x14ac:dyDescent="0.2">
      <c r="A48" s="31" t="s">
        <v>682</v>
      </c>
      <c r="B48" s="2" t="s">
        <v>1506</v>
      </c>
      <c r="C48" s="31" t="s">
        <v>1452</v>
      </c>
      <c r="D48" s="20">
        <v>3510</v>
      </c>
      <c r="E48" s="20">
        <v>3559</v>
      </c>
      <c r="F48" s="31" t="s">
        <v>1572</v>
      </c>
      <c r="G48" s="20">
        <v>0</v>
      </c>
      <c r="H48" s="20">
        <v>25000</v>
      </c>
    </row>
    <row r="49" spans="1:8" x14ac:dyDescent="0.2">
      <c r="A49" s="31" t="s">
        <v>683</v>
      </c>
      <c r="B49" s="2" t="s">
        <v>1506</v>
      </c>
      <c r="C49" s="31" t="s">
        <v>1452</v>
      </c>
      <c r="D49" s="20">
        <v>21353</v>
      </c>
      <c r="E49" s="20">
        <v>22575</v>
      </c>
      <c r="F49" s="31" t="s">
        <v>1572</v>
      </c>
      <c r="G49" s="20">
        <v>0</v>
      </c>
      <c r="H49" s="20">
        <v>25000</v>
      </c>
    </row>
    <row r="50" spans="1:8" x14ac:dyDescent="0.2">
      <c r="A50" s="31" t="s">
        <v>684</v>
      </c>
      <c r="B50" s="2" t="s">
        <v>1506</v>
      </c>
      <c r="C50" s="31" t="s">
        <v>1452</v>
      </c>
      <c r="D50" s="20">
        <v>3510</v>
      </c>
      <c r="E50" s="20">
        <v>22575</v>
      </c>
      <c r="F50" s="31" t="s">
        <v>1572</v>
      </c>
      <c r="G50" s="20">
        <v>0</v>
      </c>
      <c r="H50" s="20">
        <v>25000</v>
      </c>
    </row>
    <row r="51" spans="1:8" x14ac:dyDescent="0.2">
      <c r="A51" s="31" t="s">
        <v>685</v>
      </c>
      <c r="B51" s="2" t="s">
        <v>1506</v>
      </c>
      <c r="C51" s="31" t="s">
        <v>1452</v>
      </c>
      <c r="D51" s="20">
        <v>3510</v>
      </c>
      <c r="E51" s="20">
        <v>3559</v>
      </c>
      <c r="F51" s="31" t="s">
        <v>1572</v>
      </c>
      <c r="G51" s="20">
        <v>0</v>
      </c>
      <c r="H51" s="20">
        <v>25000</v>
      </c>
    </row>
    <row r="52" spans="1:8" x14ac:dyDescent="0.2">
      <c r="A52" s="31" t="s">
        <v>686</v>
      </c>
      <c r="B52" s="2" t="s">
        <v>1506</v>
      </c>
      <c r="C52" s="31" t="s">
        <v>1452</v>
      </c>
      <c r="D52" s="20">
        <v>3510</v>
      </c>
      <c r="E52" s="20">
        <v>3559</v>
      </c>
      <c r="F52" s="31" t="s">
        <v>1572</v>
      </c>
      <c r="G52" s="20">
        <v>0</v>
      </c>
      <c r="H52" s="20">
        <v>25000</v>
      </c>
    </row>
    <row r="53" spans="1:8" x14ac:dyDescent="0.2">
      <c r="A53" s="31" t="s">
        <v>687</v>
      </c>
      <c r="B53" s="2" t="s">
        <v>1506</v>
      </c>
      <c r="C53" s="31" t="s">
        <v>1452</v>
      </c>
      <c r="D53" s="20">
        <v>3510</v>
      </c>
      <c r="E53" s="20">
        <v>3559</v>
      </c>
      <c r="F53" s="31" t="s">
        <v>1572</v>
      </c>
      <c r="G53" s="20">
        <v>0</v>
      </c>
      <c r="H53" s="20">
        <v>25000</v>
      </c>
    </row>
    <row r="54" spans="1:8" x14ac:dyDescent="0.2">
      <c r="A54" s="31" t="s">
        <v>689</v>
      </c>
      <c r="B54" s="2" t="s">
        <v>1506</v>
      </c>
      <c r="C54" s="31" t="s">
        <v>1452</v>
      </c>
      <c r="D54" s="20">
        <v>3510</v>
      </c>
      <c r="E54" s="20">
        <v>22575</v>
      </c>
      <c r="F54" s="31" t="s">
        <v>1572</v>
      </c>
      <c r="G54" s="20">
        <v>0</v>
      </c>
      <c r="H54" s="20">
        <v>25000</v>
      </c>
    </row>
    <row r="55" spans="1:8" x14ac:dyDescent="0.2">
      <c r="A55" s="31" t="s">
        <v>690</v>
      </c>
      <c r="B55" s="2" t="s">
        <v>1506</v>
      </c>
      <c r="C55" s="31" t="s">
        <v>1452</v>
      </c>
      <c r="D55" s="20">
        <v>3510</v>
      </c>
      <c r="E55" s="20">
        <v>3559</v>
      </c>
      <c r="F55" s="31" t="s">
        <v>1572</v>
      </c>
      <c r="G55" s="20">
        <v>0</v>
      </c>
      <c r="H55" s="20">
        <v>25000</v>
      </c>
    </row>
    <row r="56" spans="1:8" x14ac:dyDescent="0.2">
      <c r="A56" s="31" t="s">
        <v>691</v>
      </c>
      <c r="B56" s="2" t="s">
        <v>1506</v>
      </c>
      <c r="C56" s="31" t="s">
        <v>1452</v>
      </c>
      <c r="D56" s="20">
        <v>3510</v>
      </c>
      <c r="E56" s="20">
        <v>3559</v>
      </c>
      <c r="F56" s="31" t="s">
        <v>1572</v>
      </c>
      <c r="G56" s="20">
        <v>0</v>
      </c>
      <c r="H56" s="20">
        <v>25000</v>
      </c>
    </row>
    <row r="57" spans="1:8" x14ac:dyDescent="0.2">
      <c r="A57" s="31" t="s">
        <v>688</v>
      </c>
      <c r="B57" s="2" t="s">
        <v>1506</v>
      </c>
      <c r="C57" s="31" t="s">
        <v>1453</v>
      </c>
      <c r="D57" s="20">
        <v>3510</v>
      </c>
      <c r="E57" s="20">
        <v>22575</v>
      </c>
      <c r="F57" s="31" t="s">
        <v>1572</v>
      </c>
      <c r="G57" s="20">
        <v>0</v>
      </c>
      <c r="H57" s="20">
        <v>25000</v>
      </c>
    </row>
    <row r="58" spans="1:8" x14ac:dyDescent="0.2">
      <c r="A58" s="31" t="s">
        <v>1454</v>
      </c>
      <c r="B58" s="2" t="s">
        <v>1507</v>
      </c>
      <c r="C58" s="31" t="s">
        <v>171</v>
      </c>
      <c r="D58" s="20">
        <v>21353</v>
      </c>
      <c r="E58" s="20">
        <v>22575</v>
      </c>
      <c r="F58" s="31" t="s">
        <v>1573</v>
      </c>
      <c r="G58" s="20">
        <v>21353</v>
      </c>
      <c r="H58" s="20">
        <v>25000</v>
      </c>
    </row>
    <row r="59" spans="1:8" x14ac:dyDescent="0.2">
      <c r="A59" s="31" t="s">
        <v>1455</v>
      </c>
      <c r="B59" s="2" t="s">
        <v>1515</v>
      </c>
      <c r="C59" s="31" t="s">
        <v>1456</v>
      </c>
      <c r="D59" s="20">
        <v>11991</v>
      </c>
      <c r="E59" s="20">
        <v>13011</v>
      </c>
      <c r="F59" s="31" t="s">
        <v>1619</v>
      </c>
      <c r="G59" s="20">
        <v>9500</v>
      </c>
      <c r="H59" s="20">
        <v>19500</v>
      </c>
    </row>
    <row r="60" spans="1:8" x14ac:dyDescent="0.2">
      <c r="A60" s="31" t="s">
        <v>1457</v>
      </c>
      <c r="B60" s="2" t="s">
        <v>1507</v>
      </c>
      <c r="C60" s="31" t="s">
        <v>1458</v>
      </c>
      <c r="D60" s="20">
        <v>1438</v>
      </c>
      <c r="E60" s="20">
        <v>16530</v>
      </c>
      <c r="F60" s="31" t="s">
        <v>1574</v>
      </c>
      <c r="G60" s="20">
        <v>0</v>
      </c>
      <c r="H60" s="20">
        <v>25000</v>
      </c>
    </row>
    <row r="61" spans="1:8" x14ac:dyDescent="0.2">
      <c r="A61" s="31" t="s">
        <v>647</v>
      </c>
      <c r="B61" s="2" t="s">
        <v>1506</v>
      </c>
      <c r="C61" s="31" t="s">
        <v>1513</v>
      </c>
      <c r="D61" s="20">
        <v>1700</v>
      </c>
      <c r="E61" s="20">
        <v>2700</v>
      </c>
      <c r="F61" s="31" t="s">
        <v>1631</v>
      </c>
      <c r="G61" s="20">
        <v>1621</v>
      </c>
      <c r="H61" s="20">
        <v>8200</v>
      </c>
    </row>
    <row r="62" spans="1:8" x14ac:dyDescent="0.2">
      <c r="A62" s="31" t="s">
        <v>1459</v>
      </c>
      <c r="B62" s="2" t="s">
        <v>1506</v>
      </c>
      <c r="C62" s="31" t="s">
        <v>212</v>
      </c>
      <c r="D62" s="20">
        <v>3510</v>
      </c>
      <c r="E62" s="20">
        <v>3559</v>
      </c>
      <c r="F62" s="31" t="s">
        <v>1632</v>
      </c>
      <c r="G62" s="20">
        <v>3510</v>
      </c>
      <c r="H62" s="20">
        <v>9648</v>
      </c>
    </row>
    <row r="63" spans="1:8" x14ac:dyDescent="0.2">
      <c r="A63" s="31" t="s">
        <v>1460</v>
      </c>
      <c r="B63" s="2" t="s">
        <v>1506</v>
      </c>
      <c r="C63" s="31" t="s">
        <v>212</v>
      </c>
      <c r="D63" s="20">
        <v>3510</v>
      </c>
      <c r="E63" s="20">
        <v>3559</v>
      </c>
      <c r="F63" s="31" t="s">
        <v>1632</v>
      </c>
      <c r="G63" s="20">
        <v>3510</v>
      </c>
      <c r="H63" s="20">
        <v>9648</v>
      </c>
    </row>
    <row r="64" spans="1:8" x14ac:dyDescent="0.2">
      <c r="A64" s="31" t="s">
        <v>1461</v>
      </c>
      <c r="B64" s="2" t="s">
        <v>1506</v>
      </c>
      <c r="C64" s="31" t="s">
        <v>212</v>
      </c>
      <c r="D64" s="20">
        <v>3510</v>
      </c>
      <c r="E64" s="20">
        <v>3559</v>
      </c>
      <c r="F64" s="31" t="s">
        <v>1632</v>
      </c>
      <c r="G64" s="20">
        <v>3510</v>
      </c>
      <c r="H64" s="20">
        <v>9648</v>
      </c>
    </row>
    <row r="65" spans="1:8" x14ac:dyDescent="0.2">
      <c r="A65" s="31" t="s">
        <v>1462</v>
      </c>
      <c r="B65" s="2" t="s">
        <v>1506</v>
      </c>
      <c r="C65" s="31" t="s">
        <v>212</v>
      </c>
      <c r="D65" s="20">
        <v>3510</v>
      </c>
      <c r="E65" s="20">
        <v>3559</v>
      </c>
      <c r="F65" s="31" t="s">
        <v>1632</v>
      </c>
      <c r="G65" s="20">
        <v>3510</v>
      </c>
      <c r="H65" s="20">
        <v>9648</v>
      </c>
    </row>
    <row r="66" spans="1:8" x14ac:dyDescent="0.2">
      <c r="A66" s="31" t="s">
        <v>463</v>
      </c>
      <c r="B66" s="2" t="s">
        <v>1515</v>
      </c>
      <c r="C66" s="31" t="s">
        <v>1463</v>
      </c>
      <c r="D66" s="20">
        <v>3818</v>
      </c>
      <c r="E66" s="20">
        <v>3859</v>
      </c>
      <c r="F66" s="31" t="s">
        <v>1627</v>
      </c>
      <c r="G66" s="20">
        <v>0</v>
      </c>
      <c r="H66" s="20">
        <v>11500</v>
      </c>
    </row>
    <row r="67" spans="1:8" x14ac:dyDescent="0.2">
      <c r="A67" s="31" t="s">
        <v>1464</v>
      </c>
      <c r="B67" s="2" t="s">
        <v>1506</v>
      </c>
      <c r="C67" s="31" t="s">
        <v>214</v>
      </c>
      <c r="D67" s="20">
        <v>9141</v>
      </c>
      <c r="E67" s="20">
        <v>9528</v>
      </c>
      <c r="F67" s="31" t="s">
        <v>1575</v>
      </c>
      <c r="G67" s="20">
        <v>9141</v>
      </c>
      <c r="H67" s="20">
        <v>9528</v>
      </c>
    </row>
    <row r="68" spans="1:8" x14ac:dyDescent="0.2">
      <c r="A68" s="31" t="s">
        <v>641</v>
      </c>
      <c r="B68" s="2" t="s">
        <v>1506</v>
      </c>
      <c r="C68" s="31" t="s">
        <v>643</v>
      </c>
      <c r="D68" s="20">
        <v>17048</v>
      </c>
      <c r="E68" s="20">
        <v>17717</v>
      </c>
      <c r="F68" s="31" t="s">
        <v>1628</v>
      </c>
      <c r="G68" s="20">
        <v>17048</v>
      </c>
      <c r="H68" s="20">
        <v>25000</v>
      </c>
    </row>
    <row r="69" spans="1:8" x14ac:dyDescent="0.2">
      <c r="A69" s="31" t="s">
        <v>1465</v>
      </c>
      <c r="B69" s="2" t="s">
        <v>1506</v>
      </c>
      <c r="C69" s="31" t="s">
        <v>982</v>
      </c>
      <c r="D69" s="20">
        <v>1871</v>
      </c>
      <c r="E69" s="20">
        <v>3913</v>
      </c>
      <c r="F69" s="31" t="s">
        <v>1576</v>
      </c>
      <c r="G69" s="20">
        <v>1871</v>
      </c>
      <c r="H69" s="20">
        <v>4200</v>
      </c>
    </row>
    <row r="70" spans="1:8" s="4" customFormat="1" x14ac:dyDescent="0.2">
      <c r="A70" s="4" t="s">
        <v>648</v>
      </c>
      <c r="B70" s="2" t="s">
        <v>1506</v>
      </c>
      <c r="C70" s="31" t="s">
        <v>982</v>
      </c>
      <c r="D70" s="7">
        <v>3870</v>
      </c>
      <c r="E70" s="7">
        <v>4627</v>
      </c>
      <c r="F70" s="4" t="s">
        <v>1634</v>
      </c>
      <c r="G70" s="7">
        <v>2000</v>
      </c>
      <c r="H70" s="7">
        <v>4627</v>
      </c>
    </row>
    <row r="71" spans="1:8" x14ac:dyDescent="0.2">
      <c r="A71" s="31" t="s">
        <v>645</v>
      </c>
      <c r="B71" s="2" t="s">
        <v>1506</v>
      </c>
      <c r="C71" s="31" t="s">
        <v>982</v>
      </c>
      <c r="D71" s="20">
        <v>1871</v>
      </c>
      <c r="E71" s="20">
        <v>1871</v>
      </c>
      <c r="F71" s="31" t="s">
        <v>1576</v>
      </c>
      <c r="G71" s="20">
        <v>1871</v>
      </c>
      <c r="H71" s="20">
        <v>4200</v>
      </c>
    </row>
    <row r="72" spans="1:8" x14ac:dyDescent="0.2">
      <c r="A72" s="31" t="s">
        <v>1466</v>
      </c>
      <c r="B72" s="2" t="s">
        <v>1507</v>
      </c>
      <c r="C72" s="31" t="s">
        <v>28</v>
      </c>
      <c r="D72" s="20">
        <v>8723</v>
      </c>
      <c r="E72" s="20">
        <v>9009</v>
      </c>
      <c r="F72" s="31" t="s">
        <v>1630</v>
      </c>
      <c r="G72" s="20">
        <v>0</v>
      </c>
      <c r="H72" s="20">
        <v>9550</v>
      </c>
    </row>
    <row r="73" spans="1:8" x14ac:dyDescent="0.2">
      <c r="A73" s="31" t="s">
        <v>1467</v>
      </c>
      <c r="B73" s="2" t="s">
        <v>1507</v>
      </c>
      <c r="C73" s="31" t="s">
        <v>28</v>
      </c>
      <c r="D73" s="20">
        <v>8723</v>
      </c>
      <c r="E73" s="20">
        <v>9009</v>
      </c>
      <c r="F73" s="31" t="s">
        <v>1629</v>
      </c>
      <c r="G73" s="20">
        <v>0</v>
      </c>
      <c r="H73" s="20">
        <v>10000</v>
      </c>
    </row>
    <row r="74" spans="1:8" x14ac:dyDescent="0.2">
      <c r="A74" s="31" t="s">
        <v>1468</v>
      </c>
      <c r="B74" s="2" t="s">
        <v>1515</v>
      </c>
      <c r="C74" s="31" t="s">
        <v>1514</v>
      </c>
      <c r="D74" s="20">
        <v>10720</v>
      </c>
      <c r="E74" s="20">
        <v>12885</v>
      </c>
      <c r="F74" s="2" t="s">
        <v>1516</v>
      </c>
      <c r="G74" s="2">
        <v>10230</v>
      </c>
      <c r="H74" s="2">
        <v>13600</v>
      </c>
    </row>
    <row r="75" spans="1:8" x14ac:dyDescent="0.2">
      <c r="A75" s="31" t="s">
        <v>1469</v>
      </c>
      <c r="B75" s="2" t="s">
        <v>1515</v>
      </c>
      <c r="C75" s="31" t="s">
        <v>1514</v>
      </c>
      <c r="D75" s="20">
        <v>10720</v>
      </c>
      <c r="E75" s="20">
        <v>12590</v>
      </c>
      <c r="F75" s="2" t="s">
        <v>1517</v>
      </c>
      <c r="G75" s="2">
        <v>12000</v>
      </c>
      <c r="H75" s="2">
        <v>15200</v>
      </c>
    </row>
    <row r="76" spans="1:8" x14ac:dyDescent="0.2">
      <c r="A76" s="31" t="s">
        <v>121</v>
      </c>
      <c r="B76" s="2" t="s">
        <v>1506</v>
      </c>
      <c r="C76" s="31" t="s">
        <v>223</v>
      </c>
      <c r="D76" s="20">
        <v>21353</v>
      </c>
      <c r="E76" s="20">
        <v>22575</v>
      </c>
      <c r="F76" s="31" t="s">
        <v>1538</v>
      </c>
      <c r="G76" s="20" t="s">
        <v>1537</v>
      </c>
      <c r="H76" s="20">
        <v>22575</v>
      </c>
    </row>
    <row r="77" spans="1:8" x14ac:dyDescent="0.2">
      <c r="A77" s="31" t="s">
        <v>122</v>
      </c>
      <c r="B77" s="2" t="s">
        <v>1506</v>
      </c>
      <c r="C77" s="31" t="s">
        <v>223</v>
      </c>
      <c r="D77" s="20">
        <v>17048</v>
      </c>
      <c r="E77" s="20">
        <v>17717</v>
      </c>
      <c r="F77" s="31" t="s">
        <v>1539</v>
      </c>
      <c r="G77" s="20">
        <v>17048</v>
      </c>
      <c r="H77" s="2">
        <v>25000</v>
      </c>
    </row>
    <row r="78" spans="1:8" x14ac:dyDescent="0.2">
      <c r="A78" s="31" t="s">
        <v>136</v>
      </c>
      <c r="B78" s="2" t="s">
        <v>1506</v>
      </c>
      <c r="C78" s="31" t="s">
        <v>223</v>
      </c>
      <c r="D78" s="20">
        <v>3510</v>
      </c>
      <c r="E78" s="20">
        <v>3559</v>
      </c>
      <c r="F78" s="31" t="s">
        <v>1540</v>
      </c>
      <c r="G78" s="20">
        <v>3510</v>
      </c>
      <c r="H78" s="20">
        <v>3559</v>
      </c>
    </row>
    <row r="79" spans="1:8" x14ac:dyDescent="0.2">
      <c r="A79" s="31" t="s">
        <v>137</v>
      </c>
      <c r="B79" s="2" t="s">
        <v>1506</v>
      </c>
      <c r="C79" s="31" t="s">
        <v>223</v>
      </c>
      <c r="D79" s="20">
        <v>3510</v>
      </c>
      <c r="E79" s="20">
        <v>3559</v>
      </c>
      <c r="F79" s="31" t="s">
        <v>1540</v>
      </c>
      <c r="G79" s="20">
        <v>3510</v>
      </c>
      <c r="H79" s="20">
        <v>3559</v>
      </c>
    </row>
    <row r="80" spans="1:8" x14ac:dyDescent="0.2">
      <c r="A80" s="31" t="s">
        <v>138</v>
      </c>
      <c r="B80" s="2" t="s">
        <v>1506</v>
      </c>
      <c r="C80" s="31" t="s">
        <v>223</v>
      </c>
      <c r="D80" s="20">
        <v>3510</v>
      </c>
      <c r="E80" s="20">
        <v>3559</v>
      </c>
      <c r="F80" s="31" t="s">
        <v>1541</v>
      </c>
      <c r="G80" s="20">
        <v>3510</v>
      </c>
      <c r="H80" s="20">
        <v>3559</v>
      </c>
    </row>
    <row r="81" spans="1:8" x14ac:dyDescent="0.2">
      <c r="A81" s="31" t="s">
        <v>139</v>
      </c>
      <c r="B81" s="2" t="s">
        <v>1506</v>
      </c>
      <c r="C81" s="31" t="s">
        <v>223</v>
      </c>
      <c r="D81" s="20">
        <v>3510</v>
      </c>
      <c r="E81" s="20">
        <v>22575</v>
      </c>
      <c r="F81" s="31" t="s">
        <v>1542</v>
      </c>
      <c r="G81" s="20">
        <v>3510</v>
      </c>
      <c r="H81" s="20">
        <v>25000</v>
      </c>
    </row>
    <row r="82" spans="1:8" x14ac:dyDescent="0.2">
      <c r="A82" s="31" t="s">
        <v>140</v>
      </c>
      <c r="B82" s="2" t="s">
        <v>1506</v>
      </c>
      <c r="C82" s="31" t="s">
        <v>223</v>
      </c>
      <c r="D82" s="20">
        <v>17048</v>
      </c>
      <c r="E82" s="20">
        <v>17717</v>
      </c>
      <c r="F82" s="31" t="s">
        <v>1543</v>
      </c>
      <c r="G82" s="20">
        <v>17048</v>
      </c>
      <c r="H82" s="2">
        <v>25000</v>
      </c>
    </row>
    <row r="83" spans="1:8" x14ac:dyDescent="0.2">
      <c r="A83" s="31" t="s">
        <v>710</v>
      </c>
      <c r="B83" s="2" t="s">
        <v>1506</v>
      </c>
      <c r="C83" s="31" t="s">
        <v>717</v>
      </c>
      <c r="D83" s="20">
        <v>18500</v>
      </c>
      <c r="E83" s="20">
        <v>19100</v>
      </c>
      <c r="F83" s="31" t="s">
        <v>1523</v>
      </c>
      <c r="G83" s="20">
        <v>0</v>
      </c>
      <c r="H83" s="20">
        <v>25000</v>
      </c>
    </row>
    <row r="84" spans="1:8" x14ac:dyDescent="0.2">
      <c r="A84" s="31" t="s">
        <v>711</v>
      </c>
      <c r="B84" s="2" t="s">
        <v>1506</v>
      </c>
      <c r="C84" s="31" t="s">
        <v>717</v>
      </c>
      <c r="D84" s="20">
        <v>7839</v>
      </c>
      <c r="E84" s="20">
        <v>19100</v>
      </c>
      <c r="F84" s="31" t="s">
        <v>1523</v>
      </c>
      <c r="G84" s="20">
        <v>0</v>
      </c>
      <c r="H84" s="20">
        <v>25000</v>
      </c>
    </row>
    <row r="85" spans="1:8" x14ac:dyDescent="0.2">
      <c r="A85" s="31" t="s">
        <v>114</v>
      </c>
      <c r="B85" s="2" t="s">
        <v>1506</v>
      </c>
      <c r="C85" s="31" t="s">
        <v>1519</v>
      </c>
      <c r="D85" s="20">
        <v>3510</v>
      </c>
      <c r="E85" s="20">
        <v>22575</v>
      </c>
      <c r="F85" s="31" t="s">
        <v>1544</v>
      </c>
      <c r="G85" s="20">
        <v>3510</v>
      </c>
      <c r="H85" s="20">
        <v>26270</v>
      </c>
    </row>
    <row r="86" spans="1:8" x14ac:dyDescent="0.2">
      <c r="A86" s="31" t="s">
        <v>1470</v>
      </c>
      <c r="B86" s="2" t="s">
        <v>1506</v>
      </c>
      <c r="C86" s="31" t="s">
        <v>1519</v>
      </c>
      <c r="D86" s="20">
        <v>3510</v>
      </c>
      <c r="E86" s="20">
        <v>3559</v>
      </c>
      <c r="F86" s="31" t="s">
        <v>1545</v>
      </c>
      <c r="G86" s="20" t="s">
        <v>1546</v>
      </c>
      <c r="H86" s="20">
        <v>8225</v>
      </c>
    </row>
    <row r="87" spans="1:8" x14ac:dyDescent="0.2">
      <c r="A87" s="31" t="s">
        <v>1471</v>
      </c>
      <c r="B87" s="2" t="s">
        <v>1506</v>
      </c>
      <c r="C87" s="31" t="s">
        <v>1547</v>
      </c>
      <c r="D87" s="20">
        <v>3510</v>
      </c>
      <c r="E87" s="20">
        <v>3559</v>
      </c>
      <c r="F87" s="31" t="s">
        <v>1549</v>
      </c>
      <c r="G87" s="20">
        <v>3510</v>
      </c>
      <c r="H87" s="20">
        <v>3559</v>
      </c>
    </row>
    <row r="88" spans="1:8" x14ac:dyDescent="0.2">
      <c r="A88" s="31" t="s">
        <v>1472</v>
      </c>
      <c r="B88" s="2" t="s">
        <v>1506</v>
      </c>
      <c r="C88" s="31" t="s">
        <v>1547</v>
      </c>
      <c r="D88" s="20">
        <v>3510</v>
      </c>
      <c r="E88" s="20">
        <v>3559</v>
      </c>
      <c r="F88" s="31" t="s">
        <v>1548</v>
      </c>
      <c r="G88" s="20">
        <v>247</v>
      </c>
      <c r="H88" s="20">
        <v>7995</v>
      </c>
    </row>
    <row r="89" spans="1:8" x14ac:dyDescent="0.2">
      <c r="A89" s="31" t="s">
        <v>1474</v>
      </c>
      <c r="B89" s="2" t="s">
        <v>1515</v>
      </c>
      <c r="C89" s="31" t="s">
        <v>238</v>
      </c>
      <c r="D89" s="20">
        <v>11860</v>
      </c>
      <c r="E89" s="20">
        <v>14356</v>
      </c>
      <c r="F89" s="31" t="s">
        <v>1577</v>
      </c>
      <c r="G89" s="2">
        <v>9364</v>
      </c>
      <c r="H89" s="2">
        <v>14343</v>
      </c>
    </row>
    <row r="90" spans="1:8" x14ac:dyDescent="0.2">
      <c r="A90" s="31" t="s">
        <v>1473</v>
      </c>
      <c r="B90" s="2" t="s">
        <v>1515</v>
      </c>
      <c r="C90" s="31" t="s">
        <v>183</v>
      </c>
      <c r="D90" s="20">
        <v>11991</v>
      </c>
      <c r="E90" s="20">
        <v>12097</v>
      </c>
      <c r="F90" s="31" t="s">
        <v>1550</v>
      </c>
      <c r="G90" s="20">
        <v>0</v>
      </c>
      <c r="H90" s="20">
        <v>18000</v>
      </c>
    </row>
    <row r="91" spans="1:8" x14ac:dyDescent="0.2">
      <c r="A91" s="31" t="s">
        <v>1475</v>
      </c>
      <c r="B91" s="2" t="s">
        <v>1507</v>
      </c>
      <c r="C91" s="31" t="s">
        <v>631</v>
      </c>
      <c r="D91" s="20">
        <v>8723</v>
      </c>
      <c r="E91" s="20">
        <v>9009</v>
      </c>
      <c r="F91" s="31" t="s">
        <v>1578</v>
      </c>
      <c r="G91" s="20">
        <v>8723</v>
      </c>
      <c r="H91" s="20">
        <v>25000</v>
      </c>
    </row>
    <row r="92" spans="1:8" x14ac:dyDescent="0.2">
      <c r="A92" s="31" t="s">
        <v>771</v>
      </c>
      <c r="B92" s="2" t="s">
        <v>1506</v>
      </c>
      <c r="C92" s="31" t="s">
        <v>752</v>
      </c>
      <c r="D92" s="20">
        <v>1871</v>
      </c>
      <c r="E92" s="20">
        <v>14356</v>
      </c>
      <c r="F92" s="31" t="s">
        <v>1579</v>
      </c>
      <c r="G92" s="20">
        <v>0</v>
      </c>
      <c r="H92" s="20">
        <v>25000</v>
      </c>
    </row>
    <row r="93" spans="1:8" x14ac:dyDescent="0.2">
      <c r="A93" s="31" t="s">
        <v>772</v>
      </c>
      <c r="B93" s="2" t="s">
        <v>1506</v>
      </c>
      <c r="C93" s="31" t="s">
        <v>752</v>
      </c>
      <c r="D93" s="20" t="s">
        <v>1440</v>
      </c>
      <c r="E93" s="20" t="s">
        <v>1440</v>
      </c>
      <c r="F93" s="31" t="s">
        <v>1579</v>
      </c>
      <c r="G93" s="20">
        <v>0</v>
      </c>
      <c r="H93" s="20">
        <v>25000</v>
      </c>
    </row>
    <row r="94" spans="1:8" x14ac:dyDescent="0.2">
      <c r="A94" s="31" t="s">
        <v>69</v>
      </c>
      <c r="B94" s="2" t="s">
        <v>1506</v>
      </c>
      <c r="C94" s="31" t="s">
        <v>210</v>
      </c>
      <c r="D94" s="20">
        <v>4483</v>
      </c>
      <c r="E94" s="20">
        <v>4627</v>
      </c>
      <c r="F94" s="31" t="s">
        <v>1476</v>
      </c>
      <c r="G94" s="20">
        <v>4483</v>
      </c>
      <c r="H94" s="20">
        <v>4627</v>
      </c>
    </row>
    <row r="95" spans="1:8" x14ac:dyDescent="0.2">
      <c r="A95" s="31" t="s">
        <v>86</v>
      </c>
      <c r="B95" s="2" t="s">
        <v>1506</v>
      </c>
      <c r="C95" s="31" t="s">
        <v>210</v>
      </c>
      <c r="D95" s="20">
        <v>2168</v>
      </c>
      <c r="E95" s="20">
        <v>4627</v>
      </c>
      <c r="F95" s="31" t="s">
        <v>1476</v>
      </c>
      <c r="G95" s="20">
        <v>2168</v>
      </c>
      <c r="H95" s="20">
        <v>4627</v>
      </c>
    </row>
    <row r="96" spans="1:8" x14ac:dyDescent="0.2">
      <c r="A96" s="31" t="s">
        <v>87</v>
      </c>
      <c r="B96" s="2" t="s">
        <v>1506</v>
      </c>
      <c r="C96" s="31" t="s">
        <v>210</v>
      </c>
      <c r="D96" s="20">
        <v>4483</v>
      </c>
      <c r="E96" s="20">
        <v>4627</v>
      </c>
      <c r="F96" s="31" t="s">
        <v>1476</v>
      </c>
      <c r="G96" s="20">
        <v>4483</v>
      </c>
      <c r="H96" s="20">
        <v>4627</v>
      </c>
    </row>
    <row r="97" spans="1:8" x14ac:dyDescent="0.2">
      <c r="A97" s="31" t="s">
        <v>88</v>
      </c>
      <c r="B97" s="2" t="s">
        <v>1506</v>
      </c>
      <c r="C97" s="31" t="s">
        <v>210</v>
      </c>
      <c r="D97" s="20">
        <v>1438</v>
      </c>
      <c r="E97" s="20">
        <v>4627</v>
      </c>
      <c r="F97" s="31" t="s">
        <v>1476</v>
      </c>
      <c r="G97" s="20">
        <v>1438</v>
      </c>
      <c r="H97" s="20">
        <v>4627</v>
      </c>
    </row>
    <row r="98" spans="1:8" x14ac:dyDescent="0.2">
      <c r="A98" s="31" t="s">
        <v>124</v>
      </c>
      <c r="B98" s="2" t="s">
        <v>1506</v>
      </c>
      <c r="C98" s="31" t="s">
        <v>210</v>
      </c>
      <c r="D98" s="20">
        <v>3500</v>
      </c>
      <c r="E98" s="20">
        <v>9009</v>
      </c>
      <c r="F98" s="31" t="s">
        <v>1476</v>
      </c>
      <c r="G98" s="20">
        <v>3500</v>
      </c>
      <c r="H98" s="20">
        <v>9009</v>
      </c>
    </row>
    <row r="99" spans="1:8" x14ac:dyDescent="0.2">
      <c r="A99" s="31" t="s">
        <v>125</v>
      </c>
      <c r="B99" s="2" t="s">
        <v>1506</v>
      </c>
      <c r="C99" s="31" t="s">
        <v>210</v>
      </c>
      <c r="D99" s="20">
        <v>2168</v>
      </c>
      <c r="E99" s="20">
        <v>4627</v>
      </c>
      <c r="F99" s="31" t="s">
        <v>1476</v>
      </c>
      <c r="G99" s="20">
        <v>2168</v>
      </c>
      <c r="H99" s="20">
        <v>4627</v>
      </c>
    </row>
    <row r="100" spans="1:8" x14ac:dyDescent="0.2">
      <c r="A100" s="31" t="s">
        <v>141</v>
      </c>
      <c r="B100" s="2" t="s">
        <v>1506</v>
      </c>
      <c r="C100" s="31" t="s">
        <v>210</v>
      </c>
      <c r="D100" s="20">
        <v>11860</v>
      </c>
      <c r="E100" s="20">
        <v>12396</v>
      </c>
      <c r="F100" s="31" t="s">
        <v>1476</v>
      </c>
      <c r="G100" s="20">
        <v>11860</v>
      </c>
      <c r="H100" s="20">
        <v>12396</v>
      </c>
    </row>
    <row r="101" spans="1:8" x14ac:dyDescent="0.2">
      <c r="A101" s="31" t="s">
        <v>117</v>
      </c>
      <c r="B101" s="2" t="s">
        <v>1506</v>
      </c>
      <c r="C101" s="31" t="s">
        <v>220</v>
      </c>
      <c r="D101" s="20">
        <v>4483</v>
      </c>
      <c r="E101" s="20">
        <v>4627</v>
      </c>
      <c r="F101" s="31" t="s">
        <v>1476</v>
      </c>
      <c r="G101" s="20">
        <v>4483</v>
      </c>
      <c r="H101" s="20">
        <v>4627</v>
      </c>
    </row>
    <row r="102" spans="1:8" x14ac:dyDescent="0.2">
      <c r="A102" s="31" t="s">
        <v>1477</v>
      </c>
      <c r="B102" s="2" t="s">
        <v>1515</v>
      </c>
      <c r="C102" s="31" t="s">
        <v>198</v>
      </c>
      <c r="D102" s="20">
        <v>4483</v>
      </c>
      <c r="E102" s="20">
        <v>15941</v>
      </c>
      <c r="F102" s="31" t="s">
        <v>1580</v>
      </c>
      <c r="G102" s="2">
        <v>4483</v>
      </c>
      <c r="H102" s="20">
        <v>16000</v>
      </c>
    </row>
    <row r="103" spans="1:8" x14ac:dyDescent="0.2">
      <c r="A103" s="31" t="s">
        <v>697</v>
      </c>
      <c r="B103" s="2" t="s">
        <v>1507</v>
      </c>
      <c r="C103" s="31" t="s">
        <v>1331</v>
      </c>
      <c r="D103" s="20">
        <v>13761</v>
      </c>
      <c r="E103" s="20">
        <v>18200</v>
      </c>
      <c r="F103" s="31" t="s">
        <v>1581</v>
      </c>
      <c r="G103" s="20">
        <v>90</v>
      </c>
      <c r="H103" s="20">
        <v>25000</v>
      </c>
    </row>
    <row r="104" spans="1:8" x14ac:dyDescent="0.2">
      <c r="A104" s="31" t="s">
        <v>435</v>
      </c>
      <c r="B104" s="2" t="s">
        <v>1507</v>
      </c>
      <c r="C104" s="31" t="s">
        <v>180</v>
      </c>
      <c r="D104" s="20">
        <v>21353</v>
      </c>
      <c r="E104" s="20">
        <v>22575</v>
      </c>
      <c r="F104" s="31" t="s">
        <v>1582</v>
      </c>
      <c r="G104" s="20">
        <v>21353</v>
      </c>
      <c r="H104" s="20">
        <v>25000</v>
      </c>
    </row>
    <row r="105" spans="1:8" x14ac:dyDescent="0.2">
      <c r="A105" s="31" t="s">
        <v>126</v>
      </c>
      <c r="B105" s="2" t="s">
        <v>1506</v>
      </c>
      <c r="C105" s="31" t="s">
        <v>1439</v>
      </c>
      <c r="D105" s="20">
        <v>1478</v>
      </c>
      <c r="E105" s="20">
        <v>22339</v>
      </c>
      <c r="F105" s="31" t="s">
        <v>1583</v>
      </c>
      <c r="G105" s="20">
        <v>0</v>
      </c>
      <c r="H105" s="20">
        <v>25000</v>
      </c>
    </row>
    <row r="106" spans="1:8" x14ac:dyDescent="0.2">
      <c r="A106" s="31" t="s">
        <v>497</v>
      </c>
      <c r="B106" s="2" t="s">
        <v>1507</v>
      </c>
      <c r="C106" s="31" t="s">
        <v>499</v>
      </c>
      <c r="D106" s="20">
        <v>7839</v>
      </c>
      <c r="E106" s="20">
        <v>12460</v>
      </c>
      <c r="F106" s="2" t="s">
        <v>1626</v>
      </c>
      <c r="G106" s="20">
        <v>3200</v>
      </c>
      <c r="H106" s="20">
        <v>25000</v>
      </c>
    </row>
    <row r="107" spans="1:8" x14ac:dyDescent="0.2">
      <c r="A107" s="31" t="s">
        <v>722</v>
      </c>
      <c r="B107" s="2" t="s">
        <v>1506</v>
      </c>
      <c r="C107" s="31" t="s">
        <v>984</v>
      </c>
      <c r="D107" s="20">
        <v>6</v>
      </c>
      <c r="E107" s="20">
        <v>1275</v>
      </c>
      <c r="F107" s="31" t="s">
        <v>1523</v>
      </c>
      <c r="G107" s="20">
        <v>0</v>
      </c>
      <c r="H107" s="20">
        <v>25000</v>
      </c>
    </row>
    <row r="108" spans="1:8" x14ac:dyDescent="0.2">
      <c r="A108" s="31" t="s">
        <v>81</v>
      </c>
      <c r="B108" s="2" t="s">
        <v>1506</v>
      </c>
      <c r="C108" s="31" t="s">
        <v>1216</v>
      </c>
      <c r="D108" s="20">
        <v>1871</v>
      </c>
      <c r="E108" s="20">
        <v>1871</v>
      </c>
      <c r="F108" s="31" t="s">
        <v>1584</v>
      </c>
      <c r="G108" s="7">
        <v>1871</v>
      </c>
      <c r="H108" s="20">
        <v>25000</v>
      </c>
    </row>
    <row r="109" spans="1:8" x14ac:dyDescent="0.2">
      <c r="A109" s="31" t="s">
        <v>82</v>
      </c>
      <c r="B109" s="2" t="s">
        <v>1506</v>
      </c>
      <c r="C109" s="31" t="s">
        <v>1216</v>
      </c>
      <c r="D109" s="20">
        <v>1871</v>
      </c>
      <c r="E109" s="20">
        <v>1871</v>
      </c>
      <c r="F109" s="31" t="s">
        <v>1584</v>
      </c>
      <c r="G109" s="7">
        <v>1871</v>
      </c>
      <c r="H109" s="20">
        <v>25000</v>
      </c>
    </row>
    <row r="110" spans="1:8" x14ac:dyDescent="0.2">
      <c r="A110" s="31" t="s">
        <v>1478</v>
      </c>
      <c r="B110" s="2" t="s">
        <v>1506</v>
      </c>
      <c r="C110" s="31" t="s">
        <v>216</v>
      </c>
      <c r="D110" s="20">
        <v>13761</v>
      </c>
      <c r="E110" s="20">
        <v>24201</v>
      </c>
      <c r="F110" s="31" t="s">
        <v>1585</v>
      </c>
      <c r="G110" s="20">
        <v>5700</v>
      </c>
      <c r="H110" s="20">
        <v>25000</v>
      </c>
    </row>
    <row r="111" spans="1:8" x14ac:dyDescent="0.2">
      <c r="A111" s="31" t="s">
        <v>1479</v>
      </c>
      <c r="B111" s="2" t="s">
        <v>1506</v>
      </c>
      <c r="C111" s="31" t="s">
        <v>216</v>
      </c>
      <c r="D111" s="20">
        <v>1871</v>
      </c>
      <c r="E111" s="20">
        <v>17717</v>
      </c>
      <c r="F111" s="31" t="s">
        <v>1584</v>
      </c>
      <c r="G111" s="7">
        <v>1871</v>
      </c>
      <c r="H111" s="5">
        <v>25000</v>
      </c>
    </row>
    <row r="112" spans="1:8" x14ac:dyDescent="0.2">
      <c r="A112" s="31" t="s">
        <v>1480</v>
      </c>
      <c r="B112" s="2" t="s">
        <v>1506</v>
      </c>
      <c r="C112" s="31" t="s">
        <v>217</v>
      </c>
      <c r="D112" s="20">
        <v>17048</v>
      </c>
      <c r="E112" s="20">
        <v>17717</v>
      </c>
      <c r="F112" s="31" t="s">
        <v>1586</v>
      </c>
      <c r="G112" s="20">
        <v>3400</v>
      </c>
      <c r="H112" s="20">
        <v>25000</v>
      </c>
    </row>
    <row r="113" spans="1:8" x14ac:dyDescent="0.2">
      <c r="A113" s="31" t="s">
        <v>1481</v>
      </c>
      <c r="B113" s="2" t="s">
        <v>1515</v>
      </c>
      <c r="C113" s="31" t="s">
        <v>1220</v>
      </c>
      <c r="D113" s="20">
        <v>13761</v>
      </c>
      <c r="E113" s="20">
        <v>19352</v>
      </c>
      <c r="F113" s="31" t="s">
        <v>1587</v>
      </c>
      <c r="G113" s="20">
        <v>13761</v>
      </c>
      <c r="H113" s="20">
        <v>25000</v>
      </c>
    </row>
    <row r="114" spans="1:8" x14ac:dyDescent="0.2">
      <c r="A114" s="31" t="s">
        <v>1482</v>
      </c>
      <c r="B114" s="2" t="s">
        <v>1515</v>
      </c>
      <c r="C114" s="31" t="s">
        <v>985</v>
      </c>
      <c r="D114" s="20">
        <v>17048</v>
      </c>
      <c r="E114" s="20">
        <v>17717</v>
      </c>
      <c r="F114" s="31" t="s">
        <v>1588</v>
      </c>
      <c r="G114" s="20">
        <v>2375</v>
      </c>
      <c r="H114" s="20">
        <v>25000</v>
      </c>
    </row>
    <row r="115" spans="1:8" x14ac:dyDescent="0.2">
      <c r="A115" s="31" t="s">
        <v>1052</v>
      </c>
      <c r="B115" s="2" t="s">
        <v>1515</v>
      </c>
      <c r="C115" s="31" t="s">
        <v>969</v>
      </c>
      <c r="D115" s="20">
        <v>8410</v>
      </c>
      <c r="E115" s="20">
        <v>9510</v>
      </c>
      <c r="F115" s="31" t="s">
        <v>1483</v>
      </c>
      <c r="G115" s="20">
        <v>8687</v>
      </c>
      <c r="H115" s="20">
        <v>9211</v>
      </c>
    </row>
    <row r="116" spans="1:8" x14ac:dyDescent="0.2">
      <c r="A116" s="31" t="s">
        <v>1616</v>
      </c>
      <c r="B116" s="2" t="s">
        <v>1515</v>
      </c>
      <c r="C116" s="31" t="s">
        <v>969</v>
      </c>
      <c r="D116" s="20">
        <v>8410</v>
      </c>
      <c r="E116" s="20">
        <v>9510</v>
      </c>
      <c r="F116" s="31" t="s">
        <v>1589</v>
      </c>
      <c r="G116" s="20">
        <v>8500</v>
      </c>
      <c r="H116" s="20">
        <v>9817</v>
      </c>
    </row>
    <row r="117" spans="1:8" x14ac:dyDescent="0.2">
      <c r="A117" s="31" t="s">
        <v>1484</v>
      </c>
      <c r="B117" s="2" t="s">
        <v>1515</v>
      </c>
      <c r="C117" s="31" t="s">
        <v>174</v>
      </c>
      <c r="D117" s="20">
        <v>12740</v>
      </c>
      <c r="E117" s="20">
        <v>13078</v>
      </c>
      <c r="F117" s="31" t="s">
        <v>1520</v>
      </c>
      <c r="G117" s="20">
        <f>11440-119</f>
        <v>11321</v>
      </c>
      <c r="H117" s="20">
        <f>14144+ 190</f>
        <v>14334</v>
      </c>
    </row>
    <row r="118" spans="1:8" x14ac:dyDescent="0.2">
      <c r="A118" s="31" t="s">
        <v>1485</v>
      </c>
      <c r="B118" s="2" t="s">
        <v>1515</v>
      </c>
      <c r="C118" s="31" t="s">
        <v>1486</v>
      </c>
      <c r="D118" s="20">
        <v>13761</v>
      </c>
      <c r="E118" s="20">
        <v>14356</v>
      </c>
      <c r="F118" s="31" t="s">
        <v>1564</v>
      </c>
      <c r="G118" s="20">
        <v>13761</v>
      </c>
      <c r="H118" s="20">
        <v>14356</v>
      </c>
    </row>
    <row r="119" spans="1:8" x14ac:dyDescent="0.2">
      <c r="A119" s="31" t="s">
        <v>1487</v>
      </c>
      <c r="B119" s="2" t="s">
        <v>1506</v>
      </c>
      <c r="C119" s="31" t="s">
        <v>211</v>
      </c>
      <c r="D119" s="20">
        <v>17825</v>
      </c>
      <c r="E119" s="20">
        <v>18269</v>
      </c>
      <c r="F119" s="31" t="s">
        <v>1617</v>
      </c>
      <c r="G119" s="20">
        <v>17825</v>
      </c>
      <c r="H119" s="20">
        <v>25000</v>
      </c>
    </row>
    <row r="120" spans="1:8" x14ac:dyDescent="0.2">
      <c r="A120" s="31" t="s">
        <v>1488</v>
      </c>
      <c r="B120" s="2" t="s">
        <v>1506</v>
      </c>
      <c r="C120" s="31" t="s">
        <v>211</v>
      </c>
      <c r="D120" s="20">
        <v>17825</v>
      </c>
      <c r="E120" s="20">
        <v>18269</v>
      </c>
      <c r="F120" s="31" t="s">
        <v>1617</v>
      </c>
      <c r="G120" s="20">
        <v>17825</v>
      </c>
      <c r="H120" s="20">
        <v>25000</v>
      </c>
    </row>
    <row r="121" spans="1:8" x14ac:dyDescent="0.2">
      <c r="A121" s="31" t="s">
        <v>1489</v>
      </c>
      <c r="B121" s="2" t="s">
        <v>1506</v>
      </c>
      <c r="C121" s="31" t="s">
        <v>211</v>
      </c>
      <c r="D121" s="20">
        <v>17825</v>
      </c>
      <c r="E121" s="20">
        <v>18269</v>
      </c>
      <c r="F121" s="31" t="s">
        <v>1617</v>
      </c>
      <c r="G121" s="20">
        <v>17825</v>
      </c>
      <c r="H121" s="20">
        <v>25000</v>
      </c>
    </row>
    <row r="122" spans="1:8" s="2" customFormat="1" x14ac:dyDescent="0.2">
      <c r="A122" s="31" t="s">
        <v>1490</v>
      </c>
      <c r="B122" s="2" t="s">
        <v>1506</v>
      </c>
      <c r="C122" s="31" t="s">
        <v>216</v>
      </c>
      <c r="D122" s="20">
        <v>13761</v>
      </c>
      <c r="E122" s="20">
        <v>14356</v>
      </c>
      <c r="F122" s="31" t="s">
        <v>1590</v>
      </c>
      <c r="G122" s="20">
        <v>13761</v>
      </c>
      <c r="H122" s="20">
        <v>25000</v>
      </c>
    </row>
    <row r="123" spans="1:8" x14ac:dyDescent="0.2">
      <c r="A123" s="31" t="s">
        <v>1491</v>
      </c>
      <c r="B123" s="2" t="s">
        <v>1506</v>
      </c>
      <c r="C123" s="31" t="s">
        <v>217</v>
      </c>
      <c r="D123" s="20">
        <v>8723</v>
      </c>
      <c r="E123" s="20">
        <v>14356</v>
      </c>
      <c r="F123" s="31" t="s">
        <v>1591</v>
      </c>
      <c r="G123" s="20">
        <v>8723</v>
      </c>
      <c r="H123" s="20">
        <v>25000</v>
      </c>
    </row>
    <row r="124" spans="1:8" x14ac:dyDescent="0.2">
      <c r="A124" s="31" t="s">
        <v>1492</v>
      </c>
      <c r="B124" s="2" t="s">
        <v>1507</v>
      </c>
      <c r="C124" s="31" t="s">
        <v>429</v>
      </c>
      <c r="D124" s="20">
        <v>13761</v>
      </c>
      <c r="E124" s="20">
        <v>14356</v>
      </c>
      <c r="F124" s="31" t="s">
        <v>1551</v>
      </c>
      <c r="G124" s="20">
        <v>13761</v>
      </c>
      <c r="H124" s="20">
        <v>14356</v>
      </c>
    </row>
    <row r="125" spans="1:8" x14ac:dyDescent="0.2">
      <c r="A125" s="31" t="s">
        <v>468</v>
      </c>
      <c r="B125" s="2" t="s">
        <v>1515</v>
      </c>
      <c r="C125" s="31" t="s">
        <v>40</v>
      </c>
      <c r="D125" s="20">
        <v>17048</v>
      </c>
      <c r="E125" s="20">
        <v>17717</v>
      </c>
      <c r="F125" s="31" t="s">
        <v>1592</v>
      </c>
      <c r="G125" s="20">
        <v>3818</v>
      </c>
      <c r="H125" s="20">
        <v>25000</v>
      </c>
    </row>
    <row r="126" spans="1:8" x14ac:dyDescent="0.2">
      <c r="A126" s="31" t="s">
        <v>1493</v>
      </c>
      <c r="B126" s="2" t="s">
        <v>1506</v>
      </c>
      <c r="C126" s="31" t="s">
        <v>409</v>
      </c>
      <c r="D126" s="20">
        <v>4470</v>
      </c>
      <c r="E126" s="20">
        <v>14356</v>
      </c>
      <c r="F126" s="31" t="s">
        <v>1633</v>
      </c>
      <c r="G126" s="20">
        <v>0</v>
      </c>
      <c r="H126" s="20">
        <v>14356</v>
      </c>
    </row>
    <row r="127" spans="1:8" x14ac:dyDescent="0.2">
      <c r="A127" s="31" t="s">
        <v>669</v>
      </c>
      <c r="B127" s="2" t="s">
        <v>1506</v>
      </c>
      <c r="C127" s="31" t="s">
        <v>670</v>
      </c>
      <c r="D127" s="20">
        <v>8723</v>
      </c>
      <c r="E127" s="20">
        <v>14356</v>
      </c>
      <c r="F127" s="31" t="s">
        <v>1593</v>
      </c>
      <c r="G127" s="20">
        <v>0</v>
      </c>
      <c r="H127" s="20">
        <v>17415</v>
      </c>
    </row>
    <row r="128" spans="1:8" x14ac:dyDescent="0.2">
      <c r="A128" s="31" t="s">
        <v>596</v>
      </c>
      <c r="B128" s="2" t="s">
        <v>1515</v>
      </c>
      <c r="C128" s="31" t="s">
        <v>412</v>
      </c>
      <c r="D128" s="20">
        <v>3500</v>
      </c>
      <c r="E128" s="20">
        <v>22575</v>
      </c>
      <c r="F128" s="31" t="s">
        <v>1594</v>
      </c>
      <c r="G128" s="20">
        <v>3500</v>
      </c>
      <c r="H128" s="20">
        <v>25000</v>
      </c>
    </row>
    <row r="129" spans="1:8" x14ac:dyDescent="0.2">
      <c r="A129" s="31" t="s">
        <v>1494</v>
      </c>
      <c r="B129" s="2" t="s">
        <v>1515</v>
      </c>
      <c r="C129" s="31" t="s">
        <v>843</v>
      </c>
      <c r="D129" s="20">
        <v>3213</v>
      </c>
      <c r="E129" s="20">
        <v>3481</v>
      </c>
      <c r="F129" s="31" t="s">
        <v>1525</v>
      </c>
      <c r="G129" s="20">
        <v>0</v>
      </c>
      <c r="H129" s="20">
        <v>13101</v>
      </c>
    </row>
    <row r="130" spans="1:8" x14ac:dyDescent="0.2">
      <c r="A130" s="31" t="s">
        <v>1527</v>
      </c>
      <c r="B130" s="2" t="s">
        <v>1515</v>
      </c>
      <c r="C130" s="31" t="s">
        <v>19</v>
      </c>
      <c r="D130" s="20">
        <v>13761</v>
      </c>
      <c r="E130" s="20">
        <v>14356</v>
      </c>
      <c r="F130" s="31" t="s">
        <v>1565</v>
      </c>
      <c r="G130" s="20">
        <v>13761</v>
      </c>
      <c r="H130" s="7">
        <v>14356</v>
      </c>
    </row>
    <row r="131" spans="1:8" x14ac:dyDescent="0.2">
      <c r="A131" s="31" t="s">
        <v>30</v>
      </c>
      <c r="B131" s="2" t="s">
        <v>1507</v>
      </c>
      <c r="C131" s="31" t="s">
        <v>181</v>
      </c>
      <c r="D131" s="20">
        <v>21353</v>
      </c>
      <c r="E131" s="20">
        <v>22575</v>
      </c>
      <c r="F131" s="16" t="s">
        <v>1533</v>
      </c>
      <c r="G131" s="20">
        <v>11403</v>
      </c>
      <c r="H131" s="20">
        <v>25000</v>
      </c>
    </row>
    <row r="132" spans="1:8" x14ac:dyDescent="0.2">
      <c r="A132" s="31" t="s">
        <v>115</v>
      </c>
      <c r="B132" s="2" t="s">
        <v>1506</v>
      </c>
      <c r="C132" s="31" t="s">
        <v>333</v>
      </c>
      <c r="D132" s="20">
        <v>4101</v>
      </c>
      <c r="E132" s="20">
        <v>22339</v>
      </c>
      <c r="F132" s="31" t="s">
        <v>1534</v>
      </c>
      <c r="G132" s="20">
        <v>0</v>
      </c>
      <c r="H132" s="20">
        <v>20561</v>
      </c>
    </row>
    <row r="133" spans="1:8" x14ac:dyDescent="0.2">
      <c r="A133" s="31" t="s">
        <v>1495</v>
      </c>
      <c r="B133" s="2" t="s">
        <v>1515</v>
      </c>
      <c r="C133" s="31" t="s">
        <v>209</v>
      </c>
      <c r="D133" s="20">
        <v>3510</v>
      </c>
      <c r="E133" s="20">
        <v>3559</v>
      </c>
      <c r="F133" s="31" t="s">
        <v>1535</v>
      </c>
      <c r="G133" s="20">
        <v>1379</v>
      </c>
      <c r="H133" s="20">
        <v>8448</v>
      </c>
    </row>
    <row r="134" spans="1:8" x14ac:dyDescent="0.2">
      <c r="A134" s="31" t="s">
        <v>415</v>
      </c>
      <c r="B134" s="2" t="s">
        <v>1515</v>
      </c>
      <c r="C134" s="31" t="s">
        <v>593</v>
      </c>
      <c r="D134" s="20">
        <v>1478</v>
      </c>
      <c r="E134" s="20">
        <v>4627</v>
      </c>
      <c r="F134" s="31" t="s">
        <v>1595</v>
      </c>
      <c r="G134" s="20">
        <v>0</v>
      </c>
      <c r="H134" s="7">
        <v>4627</v>
      </c>
    </row>
    <row r="135" spans="1:8" x14ac:dyDescent="0.2">
      <c r="A135" s="31" t="s">
        <v>416</v>
      </c>
      <c r="B135" s="2" t="s">
        <v>1515</v>
      </c>
      <c r="C135" s="31" t="s">
        <v>593</v>
      </c>
      <c r="D135" s="20">
        <v>1478</v>
      </c>
      <c r="E135" s="20">
        <v>12396</v>
      </c>
      <c r="F135" s="31" t="s">
        <v>1596</v>
      </c>
      <c r="G135" s="20">
        <v>0</v>
      </c>
      <c r="H135" s="7">
        <v>12396</v>
      </c>
    </row>
    <row r="136" spans="1:8" x14ac:dyDescent="0.2">
      <c r="A136" s="31" t="s">
        <v>567</v>
      </c>
      <c r="B136" s="2" t="s">
        <v>1507</v>
      </c>
      <c r="C136" s="31" t="s">
        <v>568</v>
      </c>
      <c r="D136" s="20">
        <v>3510</v>
      </c>
      <c r="E136" s="20">
        <v>3559</v>
      </c>
      <c r="F136" s="37" t="s">
        <v>1521</v>
      </c>
      <c r="G136" s="12">
        <v>3510</v>
      </c>
      <c r="H136" s="12">
        <v>3559</v>
      </c>
    </row>
    <row r="137" spans="1:8" x14ac:dyDescent="0.2">
      <c r="A137" s="31" t="s">
        <v>728</v>
      </c>
      <c r="B137" s="2" t="s">
        <v>1506</v>
      </c>
      <c r="C137" s="31" t="s">
        <v>981</v>
      </c>
      <c r="D137" s="20">
        <v>1438</v>
      </c>
      <c r="E137" s="20">
        <v>22339</v>
      </c>
      <c r="F137" s="31" t="s">
        <v>1597</v>
      </c>
      <c r="G137" s="20">
        <v>0</v>
      </c>
      <c r="H137" s="20">
        <v>22339</v>
      </c>
    </row>
    <row r="138" spans="1:8" x14ac:dyDescent="0.2">
      <c r="A138" s="31" t="s">
        <v>1496</v>
      </c>
      <c r="B138" s="2" t="s">
        <v>1506</v>
      </c>
      <c r="C138" s="31" t="s">
        <v>981</v>
      </c>
      <c r="D138" s="20">
        <v>319</v>
      </c>
      <c r="E138" s="20">
        <v>12396</v>
      </c>
      <c r="F138" s="31" t="s">
        <v>1526</v>
      </c>
      <c r="G138" s="20">
        <v>0</v>
      </c>
      <c r="H138" s="20">
        <v>19897</v>
      </c>
    </row>
    <row r="139" spans="1:8" x14ac:dyDescent="0.2">
      <c r="A139" s="31" t="s">
        <v>727</v>
      </c>
      <c r="B139" s="2" t="s">
        <v>1506</v>
      </c>
      <c r="C139" s="31" t="s">
        <v>1524</v>
      </c>
      <c r="D139" s="20">
        <v>319</v>
      </c>
      <c r="E139" s="20">
        <v>1871</v>
      </c>
      <c r="F139" s="31" t="s">
        <v>1598</v>
      </c>
      <c r="G139" s="20">
        <v>0</v>
      </c>
      <c r="H139" s="7">
        <v>1871</v>
      </c>
    </row>
    <row r="140" spans="1:8" x14ac:dyDescent="0.2">
      <c r="A140" s="31" t="s">
        <v>597</v>
      </c>
      <c r="B140" s="2" t="s">
        <v>1515</v>
      </c>
      <c r="C140" s="31" t="s">
        <v>600</v>
      </c>
      <c r="D140" s="20">
        <v>3500</v>
      </c>
      <c r="E140" s="20">
        <v>3700</v>
      </c>
      <c r="F140" s="31" t="s">
        <v>1522</v>
      </c>
      <c r="G140" s="20">
        <v>0</v>
      </c>
      <c r="H140" s="20">
        <v>4723</v>
      </c>
    </row>
    <row r="141" spans="1:8" x14ac:dyDescent="0.2">
      <c r="A141" s="31" t="s">
        <v>393</v>
      </c>
      <c r="B141" s="2" t="s">
        <v>1506</v>
      </c>
      <c r="C141" s="31" t="s">
        <v>396</v>
      </c>
      <c r="D141" s="20">
        <v>17048</v>
      </c>
      <c r="E141" s="20">
        <v>22575</v>
      </c>
      <c r="F141" s="31" t="s">
        <v>1536</v>
      </c>
      <c r="G141" s="20">
        <v>0</v>
      </c>
      <c r="H141" s="20">
        <v>25000</v>
      </c>
    </row>
    <row r="142" spans="1:8" x14ac:dyDescent="0.2">
      <c r="A142" s="31" t="s">
        <v>618</v>
      </c>
      <c r="B142" s="2" t="s">
        <v>1515</v>
      </c>
      <c r="C142" s="31" t="s">
        <v>1497</v>
      </c>
      <c r="D142" s="20">
        <v>1438</v>
      </c>
      <c r="E142" s="20">
        <v>9009</v>
      </c>
      <c r="F142" s="31" t="s">
        <v>1523</v>
      </c>
      <c r="G142" s="20">
        <v>0</v>
      </c>
      <c r="H142" s="20">
        <v>25000</v>
      </c>
    </row>
    <row r="143" spans="1:8" x14ac:dyDescent="0.2">
      <c r="A143" s="31" t="s">
        <v>623</v>
      </c>
      <c r="B143" s="2" t="s">
        <v>1515</v>
      </c>
      <c r="C143" s="31" t="s">
        <v>622</v>
      </c>
      <c r="D143" s="20">
        <v>3213</v>
      </c>
      <c r="E143" s="20">
        <v>3481</v>
      </c>
      <c r="F143" s="31" t="s">
        <v>1523</v>
      </c>
      <c r="G143" s="20">
        <v>0</v>
      </c>
      <c r="H143" s="20">
        <v>25000</v>
      </c>
    </row>
    <row r="144" spans="1:8" x14ac:dyDescent="0.2">
      <c r="A144" s="31" t="s">
        <v>1498</v>
      </c>
      <c r="B144" s="2" t="s">
        <v>1506</v>
      </c>
      <c r="C144" s="31" t="s">
        <v>226</v>
      </c>
      <c r="D144" s="20">
        <v>21353</v>
      </c>
      <c r="E144" s="20">
        <v>22575</v>
      </c>
      <c r="F144" s="31" t="s">
        <v>1599</v>
      </c>
      <c r="G144" s="20">
        <v>21353</v>
      </c>
      <c r="H144" s="20">
        <v>22575</v>
      </c>
    </row>
    <row r="145" spans="1:8" x14ac:dyDescent="0.2">
      <c r="A145" s="31" t="s">
        <v>1499</v>
      </c>
      <c r="B145" s="2" t="s">
        <v>1506</v>
      </c>
      <c r="C145" s="31" t="s">
        <v>226</v>
      </c>
      <c r="D145" s="20">
        <v>21353</v>
      </c>
      <c r="E145" s="20">
        <v>22575</v>
      </c>
      <c r="F145" s="31" t="s">
        <v>1599</v>
      </c>
      <c r="G145" s="20">
        <v>21353</v>
      </c>
      <c r="H145" s="20">
        <v>22575</v>
      </c>
    </row>
    <row r="146" spans="1:8" x14ac:dyDescent="0.2">
      <c r="A146" s="31" t="s">
        <v>1500</v>
      </c>
      <c r="B146" s="2" t="s">
        <v>1506</v>
      </c>
      <c r="C146" s="31" t="s">
        <v>226</v>
      </c>
      <c r="D146" s="20">
        <v>21353</v>
      </c>
      <c r="E146" s="20">
        <v>22575</v>
      </c>
      <c r="F146" s="31" t="s">
        <v>1599</v>
      </c>
      <c r="G146" s="20">
        <v>21353</v>
      </c>
      <c r="H146" s="20">
        <v>22575</v>
      </c>
    </row>
    <row r="147" spans="1:8" x14ac:dyDescent="0.2">
      <c r="A147" s="31" t="s">
        <v>1501</v>
      </c>
      <c r="B147" s="2" t="s">
        <v>1506</v>
      </c>
      <c r="C147" s="31" t="s">
        <v>226</v>
      </c>
      <c r="D147" s="20">
        <v>21353</v>
      </c>
      <c r="E147" s="20">
        <v>22575</v>
      </c>
      <c r="F147" s="31" t="s">
        <v>1599</v>
      </c>
      <c r="G147" s="20">
        <v>21353</v>
      </c>
      <c r="H147" s="20">
        <v>22575</v>
      </c>
    </row>
    <row r="148" spans="1:8" x14ac:dyDescent="0.2">
      <c r="A148" s="31" t="s">
        <v>1502</v>
      </c>
      <c r="B148" s="2" t="s">
        <v>1506</v>
      </c>
      <c r="C148" s="31" t="s">
        <v>226</v>
      </c>
      <c r="D148" s="20">
        <v>21353</v>
      </c>
      <c r="E148" s="20">
        <v>22575</v>
      </c>
      <c r="F148" s="31" t="s">
        <v>1599</v>
      </c>
      <c r="G148" s="20">
        <v>21353</v>
      </c>
      <c r="H148" s="20">
        <v>22575</v>
      </c>
    </row>
    <row r="149" spans="1:8" x14ac:dyDescent="0.2">
      <c r="A149" s="31" t="s">
        <v>1503</v>
      </c>
      <c r="B149" s="2" t="s">
        <v>1515</v>
      </c>
      <c r="C149" s="31" t="s">
        <v>1504</v>
      </c>
      <c r="D149" s="20">
        <v>319</v>
      </c>
      <c r="E149" s="20">
        <v>24201</v>
      </c>
      <c r="F149" s="31" t="s">
        <v>1523</v>
      </c>
      <c r="G149" s="20">
        <v>0</v>
      </c>
      <c r="H149" s="20">
        <v>25000</v>
      </c>
    </row>
    <row r="150" spans="1:8" x14ac:dyDescent="0.2">
      <c r="A150" s="31" t="s">
        <v>604</v>
      </c>
      <c r="B150" s="2" t="s">
        <v>1507</v>
      </c>
      <c r="C150" s="31" t="s">
        <v>628</v>
      </c>
      <c r="D150" s="20">
        <v>7839</v>
      </c>
      <c r="E150" s="20">
        <v>22575</v>
      </c>
      <c r="F150" s="31" t="s">
        <v>1523</v>
      </c>
      <c r="G150" s="20">
        <v>0</v>
      </c>
      <c r="H150" s="20">
        <v>25000</v>
      </c>
    </row>
    <row r="151" spans="1:8" x14ac:dyDescent="0.2">
      <c r="A151" s="31" t="s">
        <v>176</v>
      </c>
      <c r="B151" s="2" t="s">
        <v>1506</v>
      </c>
      <c r="C151" s="31" t="s">
        <v>573</v>
      </c>
      <c r="D151" s="20">
        <v>3510</v>
      </c>
      <c r="E151" s="20">
        <v>22575</v>
      </c>
      <c r="F151" s="31" t="s">
        <v>1600</v>
      </c>
      <c r="G151" s="20">
        <v>0</v>
      </c>
      <c r="H151" s="20">
        <v>25000</v>
      </c>
    </row>
    <row r="152" spans="1:8" x14ac:dyDescent="0.2">
      <c r="A152" s="31" t="s">
        <v>179</v>
      </c>
      <c r="B152" s="2" t="s">
        <v>1506</v>
      </c>
      <c r="C152" s="31" t="s">
        <v>573</v>
      </c>
      <c r="D152" s="20">
        <v>3510</v>
      </c>
      <c r="E152" s="20">
        <v>3559</v>
      </c>
      <c r="F152" s="31" t="s">
        <v>1600</v>
      </c>
      <c r="G152" s="20">
        <v>0</v>
      </c>
      <c r="H152" s="20">
        <v>25000</v>
      </c>
    </row>
    <row r="153" spans="1:8" x14ac:dyDescent="0.2">
      <c r="A153" s="31" t="s">
        <v>666</v>
      </c>
      <c r="B153" s="2" t="s">
        <v>1506</v>
      </c>
      <c r="C153" s="31" t="s">
        <v>661</v>
      </c>
      <c r="D153" s="20">
        <v>997</v>
      </c>
      <c r="E153" s="20">
        <v>1989</v>
      </c>
      <c r="F153" s="31" t="s">
        <v>1518</v>
      </c>
      <c r="G153">
        <v>2150</v>
      </c>
      <c r="H153" s="20">
        <v>2550</v>
      </c>
    </row>
  </sheetData>
  <sortState xmlns:xlrd2="http://schemas.microsoft.com/office/spreadsheetml/2017/richdata2" ref="B2:H153">
    <sortCondition ref="C1:C153"/>
  </sortState>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Legend</vt:lpstr>
      <vt:lpstr>Tephra data</vt:lpstr>
      <vt:lpstr>References</vt:lpstr>
      <vt:lpstr>Dating references</vt:lpstr>
      <vt:lpstr>Site spans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Lisa Elliott</dc:creator>
  <cp:lastModifiedBy>Lisa Elliott</cp:lastModifiedBy>
  <dcterms:created xsi:type="dcterms:W3CDTF">2026-03-03T13:11:50Z</dcterms:created>
  <dcterms:modified xsi:type="dcterms:W3CDTF">2026-08-05T20:13:28Z</dcterms:modified>
</cp:coreProperties>
</file>